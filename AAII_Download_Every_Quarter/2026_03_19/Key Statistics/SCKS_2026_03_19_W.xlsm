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6_03_19\Key Statistics\"/>
    </mc:Choice>
  </mc:AlternateContent>
  <bookViews>
    <workbookView xWindow="0" yWindow="0" windowWidth="14925" windowHeight="9240"/>
  </bookViews>
  <sheets>
    <sheet name="Sheet1" sheetId="2" r:id="rId1"/>
    <sheet name="W" sheetId="3" r:id="rId2"/>
    <sheet name="WAB" sheetId="4" r:id="rId3"/>
    <sheet name="WABC" sheetId="5" r:id="rId4"/>
    <sheet name="WACLY" sheetId="6" r:id="rId5"/>
    <sheet name="WACMY" sheetId="7" r:id="rId6"/>
    <sheet name="WAFD" sheetId="8" r:id="rId7"/>
    <sheet name="WAFU" sheetId="9" r:id="rId8"/>
    <sheet name="WAI" sheetId="10" r:id="rId9"/>
    <sheet name="WAL" sheetId="11" r:id="rId10"/>
    <sheet name="WALD" sheetId="12" r:id="rId11"/>
    <sheet name="WARFY" sheetId="13" r:id="rId12"/>
    <sheet name="WASH" sheetId="14" r:id="rId13"/>
    <sheet name="WAT" sheetId="15" r:id="rId14"/>
    <sheet name="WATT" sheetId="16" r:id="rId15"/>
    <sheet name="WAVE" sheetId="17" r:id="rId16"/>
    <sheet name="WAY" sheetId="18" r:id="rId17"/>
    <sheet name="WB" sheetId="19" r:id="rId18"/>
    <sheet name="WBD" sheetId="20" r:id="rId19"/>
    <sheet name="WBI" sheetId="21" r:id="rId20"/>
    <sheet name="WBKCY" sheetId="22" r:id="rId21"/>
    <sheet name="WBRBY" sheetId="23" r:id="rId22"/>
    <sheet name="WBS" sheetId="24" r:id="rId23"/>
    <sheet name="WBTN" sheetId="25" r:id="rId24"/>
    <sheet name="WBUY" sheetId="26" r:id="rId25"/>
    <sheet name="WBX" sheetId="27" r:id="rId26"/>
    <sheet name="WCC" sheetId="28" r:id="rId27"/>
    <sheet name="WCCB" sheetId="29" r:id="rId28"/>
    <sheet name="WCFB" sheetId="30" r:id="rId29"/>
    <sheet name="WCN" sheetId="31" r:id="rId30"/>
    <sheet name="WCT" sheetId="32" r:id="rId31"/>
    <sheet name="WD" sheetId="33" r:id="rId32"/>
    <sheet name="WDAY" sheetId="34" r:id="rId33"/>
    <sheet name="WDC" sheetId="35" r:id="rId34"/>
    <sheet name="WDFC" sheetId="36" r:id="rId35"/>
    <sheet name="WDFN" sheetId="37" r:id="rId36"/>
    <sheet name="WDH" sheetId="38" r:id="rId37"/>
    <sheet name="WDS" sheetId="39" r:id="rId38"/>
    <sheet name="WEAV" sheetId="40" r:id="rId39"/>
    <sheet name="WEC" sheetId="41" r:id="rId40"/>
    <sheet name="WEGRY" sheetId="42" r:id="rId41"/>
    <sheet name="WEGZY" sheetId="43" r:id="rId42"/>
    <sheet name="WELL" sheetId="44" r:id="rId43"/>
    <sheet name="WEN" sheetId="45" r:id="rId44"/>
    <sheet name="WERN" sheetId="46" r:id="rId45"/>
    <sheet name="WES" sheetId="47" r:id="rId46"/>
    <sheet name="WEST" sheetId="48" r:id="rId47"/>
    <sheet name="WETH" sheetId="49" r:id="rId48"/>
    <sheet name="WETO" sheetId="50" r:id="rId49"/>
    <sheet name="WEX" sheetId="51" r:id="rId50"/>
    <sheet name="WEYS" sheetId="52" r:id="rId51"/>
    <sheet name="WF" sheetId="53" r:id="rId52"/>
    <sheet name="WFAFY" sheetId="54" r:id="rId53"/>
    <sheet name="WFC" sheetId="55" r:id="rId54"/>
    <sheet name="WFCF" sheetId="56" r:id="rId55"/>
    <sheet name="WFF" sheetId="57" r:id="rId56"/>
    <sheet name="WFG" sheetId="58" r:id="rId57"/>
    <sheet name="WFRD" sheetId="59" r:id="rId58"/>
    <sheet name="WGO" sheetId="60" r:id="rId59"/>
    <sheet name="WGRX" sheetId="61" r:id="rId60"/>
    <sheet name="WGS" sheetId="62" r:id="rId61"/>
    <sheet name="WH" sheetId="63" r:id="rId62"/>
    <sheet name="WHD" sheetId="64" r:id="rId63"/>
    <sheet name="WHG" sheetId="65" r:id="rId64"/>
    <sheet name="WHGLY" sheetId="66" r:id="rId65"/>
    <sheet name="WHLM" sheetId="67" r:id="rId66"/>
    <sheet name="WHLR" sheetId="68" r:id="rId67"/>
    <sheet name="WHR" sheetId="69" r:id="rId68"/>
    <sheet name="WHWK" sheetId="70" r:id="rId69"/>
    <sheet name="WIGBY" sheetId="71" r:id="rId70"/>
    <sheet name="WILWY" sheetId="72" r:id="rId71"/>
    <sheet name="WILYY" sheetId="73" r:id="rId72"/>
    <sheet name="WIMI" sheetId="74" r:id="rId73"/>
    <sheet name="WINA" sheetId="75" r:id="rId74"/>
    <sheet name="WING" sheetId="76" r:id="rId75"/>
    <sheet name="WIT" sheetId="77" r:id="rId76"/>
    <sheet name="WIX" sheetId="78" r:id="rId77"/>
    <sheet name="WIZEY" sheetId="79" r:id="rId78"/>
    <sheet name="WJRYY" sheetId="80" r:id="rId79"/>
    <sheet name="WK" sheetId="81" r:id="rId80"/>
    <sheet name="WKC" sheetId="82" r:id="rId81"/>
    <sheet name="WKEY" sheetId="83" r:id="rId82"/>
    <sheet name="WKHS" sheetId="84" r:id="rId83"/>
    <sheet name="WKSP" sheetId="85" r:id="rId84"/>
    <sheet name="WLDN" sheetId="86" r:id="rId85"/>
    <sheet name="WLDS" sheetId="87" r:id="rId86"/>
    <sheet name="WLFC" sheetId="88" r:id="rId87"/>
    <sheet name="WLK" sheetId="89" r:id="rId88"/>
    <sheet name="WLKP" sheetId="90" r:id="rId89"/>
    <sheet name="WLMIY" sheetId="91" r:id="rId90"/>
    <sheet name="WLTH" sheetId="92" r:id="rId91"/>
    <sheet name="WLY" sheetId="93" r:id="rId92"/>
    <sheet name="WLYB" sheetId="94" r:id="rId93"/>
    <sheet name="WM" sheetId="95" r:id="rId94"/>
    <sheet name="WMB" sheetId="96" r:id="rId95"/>
    <sheet name="WMG" sheetId="97" r:id="rId96"/>
    <sheet name="WMK" sheetId="98" r:id="rId97"/>
    <sheet name="WMMVY" sheetId="99" r:id="rId98"/>
    <sheet name="WMS" sheetId="100" r:id="rId99"/>
    <sheet name="WMT" sheetId="101" r:id="rId100"/>
    <sheet name="WNC" sheetId="102" r:id="rId101"/>
    <sheet name="WNEB" sheetId="103" r:id="rId102"/>
    <sheet name="WNW" sheetId="104" r:id="rId103"/>
    <sheet name="WOK" sheetId="105" r:id="rId104"/>
    <sheet name="WOLF" sheetId="106" r:id="rId105"/>
    <sheet name="WOOF" sheetId="107" r:id="rId106"/>
    <sheet name="WOR" sheetId="108" r:id="rId107"/>
    <sheet name="WORX" sheetId="109" r:id="rId108"/>
    <sheet name="WPC" sheetId="110" r:id="rId109"/>
    <sheet name="WPM" sheetId="111" r:id="rId110"/>
    <sheet name="WPP" sheetId="112" r:id="rId111"/>
    <sheet name="WPRT" sheetId="113" r:id="rId112"/>
    <sheet name="WRAP" sheetId="114" r:id="rId113"/>
    <sheet name="WRB" sheetId="115" r:id="rId114"/>
    <sheet name="WRBY" sheetId="116" r:id="rId115"/>
    <sheet name="WRD" sheetId="117" r:id="rId116"/>
    <sheet name="WRLD" sheetId="118" r:id="rId117"/>
    <sheet name="WRN" sheetId="119" r:id="rId118"/>
    <sheet name="WRTBY" sheetId="120" r:id="rId119"/>
    <sheet name="WS" sheetId="121" r:id="rId120"/>
    <sheet name="WSBC" sheetId="122" r:id="rId121"/>
    <sheet name="WSBF" sheetId="123" r:id="rId122"/>
    <sheet name="WSBK" sheetId="124" r:id="rId123"/>
    <sheet name="WSC" sheetId="125" r:id="rId124"/>
    <sheet name="WSFS" sheetId="126" r:id="rId125"/>
    <sheet name="WSHP" sheetId="127" r:id="rId126"/>
    <sheet name="WSM" sheetId="128" r:id="rId127"/>
    <sheet name="WSO" sheetId="129" r:id="rId128"/>
    <sheet name="WSO.B" sheetId="130" r:id="rId129"/>
    <sheet name="WSR" sheetId="131" r:id="rId130"/>
    <sheet name="WST" sheetId="132" r:id="rId131"/>
    <sheet name="WSTL" sheetId="133" r:id="rId132"/>
    <sheet name="WT" sheetId="134" r:id="rId133"/>
    <sheet name="WTBA" sheetId="135" r:id="rId134"/>
    <sheet name="WTBDY" sheetId="136" r:id="rId135"/>
    <sheet name="WTBFB" sheetId="137" r:id="rId136"/>
    <sheet name="WTF" sheetId="138" r:id="rId137"/>
    <sheet name="WTFC" sheetId="139" r:id="rId138"/>
    <sheet name="WTI" sheetId="140" r:id="rId139"/>
    <sheet name="WTKWY" sheetId="141" r:id="rId140"/>
    <sheet name="WTM" sheetId="142" r:id="rId141"/>
    <sheet name="WTO" sheetId="143" r:id="rId142"/>
    <sheet name="WTRG" sheetId="144" r:id="rId143"/>
    <sheet name="WTS" sheetId="145" r:id="rId144"/>
    <sheet name="WTTR" sheetId="146" r:id="rId145"/>
    <sheet name="WTW" sheetId="147" r:id="rId146"/>
    <sheet name="WU" sheetId="148" r:id="rId147"/>
    <sheet name="WULF" sheetId="149" r:id="rId148"/>
    <sheet name="WUXAY" sheetId="150" r:id="rId149"/>
    <sheet name="WVE" sheetId="151" r:id="rId150"/>
    <sheet name="WVFC" sheetId="152" r:id="rId151"/>
    <sheet name="WVVI" sheetId="153" r:id="rId152"/>
    <sheet name="WW" sheetId="154" r:id="rId153"/>
    <sheet name="WWD" sheetId="155" r:id="rId154"/>
    <sheet name="WWNTY" sheetId="156" r:id="rId155"/>
    <sheet name="WWR" sheetId="157" r:id="rId156"/>
    <sheet name="WWW" sheetId="158" r:id="rId157"/>
    <sheet name="WXM" sheetId="159" r:id="rId158"/>
    <sheet name="WXXWY" sheetId="160" r:id="rId159"/>
    <sheet name="WY" sheetId="161" r:id="rId160"/>
    <sheet name="WYFI" sheetId="162" r:id="rId161"/>
    <sheet name="WYGPY" sheetId="163" r:id="rId162"/>
    <sheet name="WYHG" sheetId="164" r:id="rId163"/>
    <sheet name="WYNMY" sheetId="165" r:id="rId164"/>
    <sheet name="WYNN" sheetId="166" r:id="rId165"/>
    <sheet name="WYTC" sheetId="167" r:id="rId166"/>
    <sheet name="WYY" sheetId="168" r:id="rId167"/>
    <sheet name="WZZZY" sheetId="169" r:id="rId168"/>
  </sheets>
  <externalReferences>
    <externalReference r:id="rId169"/>
  </externalReferences>
  <definedNames>
    <definedName name="Ticker">Sheet1!$B$3</definedName>
  </definedNames>
  <calcPr calcId="162913" calcMode="manual"/>
</workbook>
</file>

<file path=xl/calcChain.xml><?xml version="1.0" encoding="utf-8"?>
<calcChain xmlns="http://schemas.openxmlformats.org/spreadsheetml/2006/main">
  <c r="G85" i="2" l="1"/>
  <c r="G83" i="2"/>
  <c r="G82" i="2"/>
  <c r="G86" i="2"/>
  <c r="G84" i="2"/>
  <c r="G80" i="2"/>
  <c r="G79" i="2"/>
  <c r="G87" i="2"/>
  <c r="G81" i="2"/>
</calcChain>
</file>

<file path=xl/sharedStrings.xml><?xml version="1.0" encoding="utf-8"?>
<sst xmlns="http://schemas.openxmlformats.org/spreadsheetml/2006/main" count="13776" uniqueCount="82">
  <si>
    <t>VALUATION MEASURES</t>
  </si>
  <si>
    <t xml:space="preserve">   Market Cap (intraday):</t>
  </si>
  <si>
    <t xml:space="preserve">   Enterprise Value:</t>
  </si>
  <si>
    <t xml:space="preserve">   Trailing P/E (ttm, intraday):</t>
  </si>
  <si>
    <t xml:space="preserve">   Forward P/E:</t>
  </si>
  <si>
    <t xml:space="preserve">   PEG Ratio (5 yr expected):</t>
  </si>
  <si>
    <t xml:space="preserve">   Price/Sales (ttm):</t>
  </si>
  <si>
    <t xml:space="preserve">   Price/Book (mrq):</t>
  </si>
  <si>
    <t xml:space="preserve">   Enterprise Value/Revenue (ttm):</t>
  </si>
  <si>
    <t xml:space="preserve">   Enterprise Value/EBITDA (ttm):</t>
  </si>
  <si>
    <t>FINANCIAL HIGHLIGHTS</t>
  </si>
  <si>
    <t xml:space="preserve">   Fiscal Year</t>
  </si>
  <si>
    <t xml:space="preserve">      Fiscal Year Ends:</t>
  </si>
  <si>
    <t xml:space="preserve">      Most Recent Quarter (mrq):</t>
  </si>
  <si>
    <t xml:space="preserve">   Profitability</t>
  </si>
  <si>
    <t xml:space="preserve">      Profit Margin (ttm):</t>
  </si>
  <si>
    <t xml:space="preserve">      Operating Margin (ttm):</t>
  </si>
  <si>
    <t xml:space="preserve">   Management Effectiveness</t>
  </si>
  <si>
    <t xml:space="preserve">      Return on Assets (ttm):</t>
  </si>
  <si>
    <t xml:space="preserve">      Return on Equity (ttm):</t>
  </si>
  <si>
    <t xml:space="preserve">   Income Statement</t>
  </si>
  <si>
    <t xml:space="preserve">      Revenue (ttm):</t>
  </si>
  <si>
    <t xml:space="preserve">      Revenue Per Share (ttm):</t>
  </si>
  <si>
    <t xml:space="preserve">      Qtrly Revenue Growth (yoy):</t>
  </si>
  <si>
    <t xml:space="preserve">      Gross Profit (ttm):</t>
  </si>
  <si>
    <t xml:space="preserve">      EBITDA (ttm):</t>
  </si>
  <si>
    <t xml:space="preserve">      Net Income Avl to Common (ttm):</t>
  </si>
  <si>
    <t xml:space="preserve">      Diluted EPS (ttm):</t>
  </si>
  <si>
    <t xml:space="preserve">      Qtrly Earnings Growth (yoy):</t>
  </si>
  <si>
    <t xml:space="preserve">   Balance Sheet</t>
  </si>
  <si>
    <t xml:space="preserve">      Total Cash (mrq):</t>
  </si>
  <si>
    <t xml:space="preserve">      Total Cash Per Share (mrq):</t>
  </si>
  <si>
    <t xml:space="preserve">      Total Debt (mrq):</t>
  </si>
  <si>
    <t xml:space="preserve">      Total Debt/Equity (mrq):</t>
  </si>
  <si>
    <t xml:space="preserve">      Current Ratio (mrq):</t>
  </si>
  <si>
    <t xml:space="preserve">      Book Value Per Share (mrq):</t>
  </si>
  <si>
    <t xml:space="preserve">   Cash Flow Statement</t>
  </si>
  <si>
    <t xml:space="preserve">      Operating Cash Flow (ttm):</t>
  </si>
  <si>
    <t xml:space="preserve">      Levered Free Cash Flow (ttm):</t>
  </si>
  <si>
    <t>TRADING INFORMATION</t>
  </si>
  <si>
    <t xml:space="preserve">   Stock Price History</t>
  </si>
  <si>
    <t xml:space="preserve">      Beta:</t>
  </si>
  <si>
    <t xml:space="preserve">      52-Week Change:</t>
  </si>
  <si>
    <t xml:space="preserve">      S&amp;P500 52-Week Change:</t>
  </si>
  <si>
    <t xml:space="preserve">      52-Week High:</t>
  </si>
  <si>
    <t xml:space="preserve">      52-Week Low:</t>
  </si>
  <si>
    <t xml:space="preserve">      50-Day Moving Average:</t>
  </si>
  <si>
    <t xml:space="preserve">      200-Day Moving Average:</t>
  </si>
  <si>
    <t xml:space="preserve">   Share Statistics</t>
  </si>
  <si>
    <t xml:space="preserve">      Average Volume (3 month):</t>
  </si>
  <si>
    <t xml:space="preserve">      Average Volume (10 day):</t>
  </si>
  <si>
    <t xml:space="preserve">      Shares Outstanding:</t>
  </si>
  <si>
    <t xml:space="preserve">      Float:</t>
  </si>
  <si>
    <t xml:space="preserve">      % Held by Insiders:</t>
  </si>
  <si>
    <t xml:space="preserve">      % Held by Institutions:</t>
  </si>
  <si>
    <t xml:space="preserve">      Shares Short:</t>
  </si>
  <si>
    <t xml:space="preserve">      Short Ratio:</t>
  </si>
  <si>
    <t xml:space="preserve">      Short % of Float:</t>
  </si>
  <si>
    <t xml:space="preserve">      Shares Short (prior month):</t>
  </si>
  <si>
    <t xml:space="preserve">   Dividends &amp; Splits</t>
  </si>
  <si>
    <t xml:space="preserve">      Forward Annual Dividend Rate:</t>
  </si>
  <si>
    <t xml:space="preserve">      Forward Annual Dividend Yield:</t>
  </si>
  <si>
    <t xml:space="preserve">      Trailing Annual Dividend Rate:</t>
  </si>
  <si>
    <t xml:space="preserve">      Trailing Annual Dividend Yield:</t>
  </si>
  <si>
    <t xml:space="preserve">      5 Year Average Dividend Yield:</t>
  </si>
  <si>
    <t xml:space="preserve">      Payout Ratio:</t>
  </si>
  <si>
    <t xml:space="preserve">      Dividend Date:</t>
  </si>
  <si>
    <t xml:space="preserve">      Ex-Dividend Date:</t>
  </si>
  <si>
    <t xml:space="preserve">      Last Split Factor (new per old):</t>
  </si>
  <si>
    <t xml:space="preserve">      Last Split Date:</t>
  </si>
  <si>
    <t>Company Name:</t>
  </si>
  <si>
    <t>Yahoo Sector Number:</t>
  </si>
  <si>
    <t>Yahoo Sector Name:</t>
  </si>
  <si>
    <t>Yahoo Industry Number:</t>
  </si>
  <si>
    <t>Yahoo Industry Name:</t>
  </si>
  <si>
    <t>Yahoo Industry Symbol:</t>
  </si>
  <si>
    <t xml:space="preserve">      Next Earnings Date:</t>
  </si>
  <si>
    <t xml:space="preserve">      Date of 52-Week High:</t>
  </si>
  <si>
    <t xml:space="preserve">      Date of 52-Week Low:</t>
  </si>
  <si>
    <t>Date  and time Last Run</t>
  </si>
  <si>
    <t>ZUMZ</t>
  </si>
  <si>
    <t>Key Statistics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</si>
</sst>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yyyy\-mm\-dd"/>
    <numFmt numFmtId="165" formatCode="&quot;$&quot;#,##0.00"/>
    <numFmt numFmtId="166" formatCode="0.0"/>
    <numFmt numFmtId="167" formatCode="m/d/yy\ h:mm;@"/>
  </numFmts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sz val="12"/>
      <color theme="1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0.34998626667073579"/>
        <bgColor indexed="64"/>
      </patternFill>
    </fill>
  </fills>
  <borders count="15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26">
    <xf numFmtId="0" fontId="0" fillId="0" borderId="0" xfId="0"/>
    <xf numFmtId="0" fontId="18" fillId="0" borderId="10" xfId="0" applyFont="1" applyBorder="1"/>
    <xf numFmtId="0" fontId="18" fillId="0" borderId="11" xfId="0" applyFont="1" applyBorder="1" applyAlignment="1">
      <alignment horizontal="right"/>
    </xf>
    <xf numFmtId="0" fontId="18" fillId="0" borderId="12" xfId="0" applyFont="1" applyBorder="1" applyAlignment="1">
      <alignment horizontal="right"/>
    </xf>
    <xf numFmtId="0" fontId="18" fillId="0" borderId="13" xfId="0" applyFont="1" applyBorder="1"/>
    <xf numFmtId="0" fontId="18" fillId="0" borderId="10" xfId="0" applyFont="1" applyFill="1" applyBorder="1" applyAlignment="1">
      <alignment wrapText="1"/>
    </xf>
    <xf numFmtId="167" fontId="18" fillId="0" borderId="14" xfId="0" applyNumberFormat="1" applyFont="1" applyBorder="1" applyAlignment="1">
      <alignment horizontal="right"/>
    </xf>
    <xf numFmtId="0" fontId="18" fillId="0" borderId="13" xfId="0" applyFont="1" applyBorder="1" applyAlignment="1">
      <alignment horizontal="right"/>
    </xf>
    <xf numFmtId="0" fontId="18" fillId="33" borderId="10" xfId="0" applyFont="1" applyFill="1" applyBorder="1"/>
    <xf numFmtId="0" fontId="18" fillId="0" borderId="10" xfId="0" applyFont="1" applyBorder="1" applyAlignment="1">
      <alignment horizontal="right"/>
    </xf>
    <xf numFmtId="14" fontId="18" fillId="0" borderId="14" xfId="0" applyNumberFormat="1" applyFont="1" applyBorder="1" applyAlignment="1">
      <alignment horizontal="right"/>
    </xf>
    <xf numFmtId="0" fontId="18" fillId="0" borderId="14" xfId="0" applyFont="1" applyBorder="1" applyAlignment="1">
      <alignment horizontal="right"/>
    </xf>
    <xf numFmtId="3" fontId="18" fillId="0" borderId="10" xfId="0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right"/>
    </xf>
    <xf numFmtId="0" fontId="18" fillId="34" borderId="10" xfId="0" applyFont="1" applyFill="1" applyBorder="1"/>
    <xf numFmtId="0" fontId="18" fillId="35" borderId="10" xfId="0" applyFont="1" applyFill="1" applyBorder="1"/>
    <xf numFmtId="164" fontId="18" fillId="0" borderId="10" xfId="0" applyNumberFormat="1" applyFont="1" applyBorder="1" applyAlignment="1">
      <alignment horizontal="right"/>
    </xf>
    <xf numFmtId="10" fontId="18" fillId="0" borderId="10" xfId="0" applyNumberFormat="1" applyFont="1" applyBorder="1" applyAlignment="1">
      <alignment horizontal="right"/>
    </xf>
    <xf numFmtId="0" fontId="18" fillId="36" borderId="10" xfId="0" applyFont="1" applyFill="1" applyBorder="1"/>
    <xf numFmtId="15" fontId="18" fillId="0" borderId="10" xfId="0" applyNumberFormat="1" applyFont="1" applyBorder="1"/>
    <xf numFmtId="165" fontId="18" fillId="0" borderId="10" xfId="0" applyNumberFormat="1" applyFont="1" applyBorder="1" applyAlignment="1">
      <alignment horizontal="right"/>
    </xf>
    <xf numFmtId="166" fontId="18" fillId="0" borderId="10" xfId="0" applyNumberFormat="1" applyFont="1" applyBorder="1" applyAlignment="1">
      <alignment horizontal="right"/>
    </xf>
    <xf numFmtId="164" fontId="18" fillId="0" borderId="10" xfId="0" quotePrefix="1" applyNumberFormat="1" applyFont="1" applyBorder="1" applyAlignment="1">
      <alignment horizontal="right"/>
    </xf>
    <xf numFmtId="2" fontId="18" fillId="0" borderId="10" xfId="0" applyNumberFormat="1" applyFont="1" applyBorder="1" applyAlignment="1">
      <alignment horizontal="left"/>
    </xf>
    <xf numFmtId="0" fontId="18" fillId="0" borderId="10" xfId="0" applyFont="1" applyBorder="1" applyAlignment="1">
      <alignment horizontal="left"/>
    </xf>
    <xf numFmtId="0" fontId="19" fillId="0" borderId="0" xfId="0" applyFon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theme" Target="theme/theme1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styles" Target="styles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0" Type="http://schemas.openxmlformats.org/officeDocument/2006/relationships/worksheet" Target="worksheets/sheet60.xml"/><Relationship Id="rId65" Type="http://schemas.openxmlformats.org/officeDocument/2006/relationships/worksheet" Target="worksheets/sheet65.xml"/><Relationship Id="rId81" Type="http://schemas.openxmlformats.org/officeDocument/2006/relationships/worksheet" Target="worksheets/sheet81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35" Type="http://schemas.openxmlformats.org/officeDocument/2006/relationships/worksheet" Target="worksheets/sheet135.xml"/><Relationship Id="rId151" Type="http://schemas.openxmlformats.org/officeDocument/2006/relationships/worksheet" Target="worksheets/sheet151.xml"/><Relationship Id="rId156" Type="http://schemas.openxmlformats.org/officeDocument/2006/relationships/worksheet" Target="worksheets/sheet156.xml"/><Relationship Id="rId172" Type="http://schemas.openxmlformats.org/officeDocument/2006/relationships/sharedStrings" Target="sharedStrings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04" Type="http://schemas.openxmlformats.org/officeDocument/2006/relationships/worksheet" Target="worksheets/sheet104.xml"/><Relationship Id="rId120" Type="http://schemas.openxmlformats.org/officeDocument/2006/relationships/worksheet" Target="worksheets/sheet120.xml"/><Relationship Id="rId125" Type="http://schemas.openxmlformats.org/officeDocument/2006/relationships/worksheet" Target="worksheets/sheet125.xml"/><Relationship Id="rId141" Type="http://schemas.openxmlformats.org/officeDocument/2006/relationships/worksheet" Target="worksheets/sheet141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7" Type="http://schemas.openxmlformats.org/officeDocument/2006/relationships/worksheet" Target="worksheets/sheet7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162" Type="http://schemas.openxmlformats.org/officeDocument/2006/relationships/worksheet" Target="worksheets/sheet162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24" Type="http://schemas.openxmlformats.org/officeDocument/2006/relationships/worksheet" Target="worksheets/sheet24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15" Type="http://schemas.openxmlformats.org/officeDocument/2006/relationships/worksheet" Target="worksheets/sheet115.xml"/><Relationship Id="rId131" Type="http://schemas.openxmlformats.org/officeDocument/2006/relationships/worksheet" Target="worksheets/sheet131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52" Type="http://schemas.openxmlformats.org/officeDocument/2006/relationships/worksheet" Target="worksheets/sheet152.xml"/><Relationship Id="rId173" Type="http://schemas.openxmlformats.org/officeDocument/2006/relationships/calcChain" Target="calcChain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3" Type="http://schemas.openxmlformats.org/officeDocument/2006/relationships/worksheet" Target="worksheets/sheet3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microsoft.com/office/2006/relationships/vbaProject" Target="vbaProject.bin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26" Type="http://schemas.openxmlformats.org/officeDocument/2006/relationships/worksheet" Target="worksheets/sheet26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6" Type="http://schemas.openxmlformats.org/officeDocument/2006/relationships/worksheet" Target="worksheets/sheet16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SMF%20Add-In/RCH_Stock_Market_Functions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RCH_Stock_Market_Functions"/>
    </sheetNames>
    <definedNames>
      <definedName name="RCHGetElementNumber"/>
    </definedNames>
    <sheetDataSet>
      <sheetData sheetId="0"/>
      <sheetData sheetId="1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2:H155"/>
  <sheetViews>
    <sheetView tabSelected="1" workbookViewId="0"/>
  </sheetViews>
  <sheetFormatPr defaultRowHeight="11.25" x14ac:dyDescent="0.2"/>
  <cols>
    <col min="1" max="1" width="13.28515625" style="1" customWidth="1"/>
    <col min="2" max="2" width="23.140625" style="1" customWidth="1"/>
    <col min="3" max="3" width="35.140625" style="9" customWidth="1"/>
    <col min="4" max="5" width="12.42578125" style="9" customWidth="1"/>
    <col min="6" max="16" width="12.42578125" style="1" customWidth="1"/>
    <col min="17" max="16384" width="9.140625" style="1"/>
  </cols>
  <sheetData>
    <row r="2" spans="1:7" x14ac:dyDescent="0.2">
      <c r="C2" s="2"/>
      <c r="D2" s="2"/>
      <c r="E2" s="2"/>
    </row>
    <row r="3" spans="1:7" x14ac:dyDescent="0.2">
      <c r="B3" s="1" t="s">
        <v>80</v>
      </c>
      <c r="C3" s="2"/>
      <c r="D3" s="2"/>
      <c r="E3" s="3"/>
      <c r="F3" s="4"/>
      <c r="G3" s="4"/>
    </row>
    <row r="4" spans="1:7" x14ac:dyDescent="0.2">
      <c r="A4" s="5"/>
      <c r="C4" s="2"/>
      <c r="D4" s="2"/>
      <c r="E4" s="3"/>
      <c r="F4" s="4"/>
      <c r="G4" s="4"/>
    </row>
    <row r="5" spans="1:7" x14ac:dyDescent="0.2">
      <c r="A5" s="1" t="s">
        <v>81</v>
      </c>
      <c r="C5" s="2"/>
      <c r="D5" s="2"/>
      <c r="E5" s="3"/>
      <c r="F5" s="4"/>
      <c r="G5" s="4"/>
    </row>
    <row r="6" spans="1:7" x14ac:dyDescent="0.2">
      <c r="B6" s="1" t="s">
        <v>79</v>
      </c>
      <c r="C6" s="6"/>
      <c r="D6" s="7"/>
      <c r="E6" s="7"/>
      <c r="F6" s="4"/>
    </row>
    <row r="7" spans="1:7" x14ac:dyDescent="0.2">
      <c r="B7" s="8" t="s">
        <v>0</v>
      </c>
      <c r="D7" s="10"/>
      <c r="E7" s="11"/>
    </row>
    <row r="8" spans="1:7" x14ac:dyDescent="0.2">
      <c r="B8" s="1" t="s">
        <v>1</v>
      </c>
      <c r="C8" s="12"/>
      <c r="D8" s="12"/>
      <c r="E8" s="12"/>
    </row>
    <row r="9" spans="1:7" x14ac:dyDescent="0.2">
      <c r="B9" s="1" t="s">
        <v>2</v>
      </c>
      <c r="C9" s="12"/>
      <c r="D9" s="12"/>
      <c r="E9" s="12"/>
    </row>
    <row r="10" spans="1:7" x14ac:dyDescent="0.2">
      <c r="B10" s="1" t="s">
        <v>3</v>
      </c>
      <c r="C10" s="13"/>
      <c r="D10" s="13"/>
      <c r="E10" s="13"/>
    </row>
    <row r="11" spans="1:7" x14ac:dyDescent="0.2">
      <c r="B11" s="1" t="s">
        <v>4</v>
      </c>
      <c r="C11" s="13"/>
      <c r="D11" s="13"/>
      <c r="E11" s="13"/>
    </row>
    <row r="12" spans="1:7" x14ac:dyDescent="0.2">
      <c r="B12" s="1" t="s">
        <v>5</v>
      </c>
      <c r="C12" s="13"/>
      <c r="D12" s="13"/>
      <c r="E12" s="13"/>
    </row>
    <row r="13" spans="1:7" x14ac:dyDescent="0.2">
      <c r="B13" s="14" t="s">
        <v>6</v>
      </c>
      <c r="C13" s="13"/>
      <c r="D13" s="13"/>
      <c r="E13" s="13"/>
    </row>
    <row r="14" spans="1:7" x14ac:dyDescent="0.2">
      <c r="B14" s="1" t="s">
        <v>7</v>
      </c>
      <c r="C14" s="13"/>
      <c r="D14" s="13"/>
      <c r="E14" s="13"/>
    </row>
    <row r="15" spans="1:7" x14ac:dyDescent="0.2">
      <c r="B15" s="1" t="s">
        <v>8</v>
      </c>
      <c r="C15" s="13"/>
      <c r="D15" s="13"/>
      <c r="E15" s="13"/>
    </row>
    <row r="16" spans="1:7" x14ac:dyDescent="0.2">
      <c r="B16" s="1" t="s">
        <v>9</v>
      </c>
      <c r="C16" s="13"/>
      <c r="D16" s="13"/>
      <c r="E16" s="13"/>
    </row>
    <row r="17" spans="2:8" x14ac:dyDescent="0.2">
      <c r="B17" s="8" t="s">
        <v>10</v>
      </c>
    </row>
    <row r="18" spans="2:8" x14ac:dyDescent="0.2">
      <c r="B18" s="15" t="s">
        <v>11</v>
      </c>
    </row>
    <row r="19" spans="2:8" x14ac:dyDescent="0.2">
      <c r="B19" s="1" t="s">
        <v>12</v>
      </c>
      <c r="C19" s="16"/>
      <c r="D19" s="16"/>
    </row>
    <row r="20" spans="2:8" x14ac:dyDescent="0.2">
      <c r="B20" s="1" t="s">
        <v>13</v>
      </c>
      <c r="C20" s="16"/>
      <c r="D20" s="16"/>
    </row>
    <row r="21" spans="2:8" x14ac:dyDescent="0.2">
      <c r="B21" s="15" t="s">
        <v>14</v>
      </c>
    </row>
    <row r="22" spans="2:8" x14ac:dyDescent="0.2">
      <c r="B22" s="1" t="s">
        <v>15</v>
      </c>
      <c r="C22" s="17"/>
      <c r="D22" s="17"/>
    </row>
    <row r="23" spans="2:8" x14ac:dyDescent="0.2">
      <c r="B23" s="1" t="s">
        <v>16</v>
      </c>
      <c r="C23" s="17"/>
      <c r="D23" s="17"/>
    </row>
    <row r="24" spans="2:8" x14ac:dyDescent="0.2">
      <c r="B24" s="15" t="s">
        <v>17</v>
      </c>
    </row>
    <row r="25" spans="2:8" x14ac:dyDescent="0.2">
      <c r="B25" s="1" t="s">
        <v>18</v>
      </c>
      <c r="C25" s="17"/>
      <c r="D25" s="17"/>
    </row>
    <row r="26" spans="2:8" x14ac:dyDescent="0.2">
      <c r="B26" s="1" t="s">
        <v>19</v>
      </c>
      <c r="C26" s="17"/>
      <c r="D26" s="17"/>
    </row>
    <row r="27" spans="2:8" x14ac:dyDescent="0.2">
      <c r="B27" s="18" t="s">
        <v>20</v>
      </c>
    </row>
    <row r="28" spans="2:8" x14ac:dyDescent="0.2">
      <c r="B28" s="1" t="s">
        <v>21</v>
      </c>
      <c r="C28" s="12"/>
      <c r="D28" s="12"/>
      <c r="H28" s="19"/>
    </row>
    <row r="29" spans="2:8" x14ac:dyDescent="0.2">
      <c r="B29" s="1" t="s">
        <v>22</v>
      </c>
      <c r="C29" s="20"/>
      <c r="D29" s="20"/>
    </row>
    <row r="30" spans="2:8" x14ac:dyDescent="0.2">
      <c r="B30" s="1" t="s">
        <v>23</v>
      </c>
      <c r="C30" s="17"/>
      <c r="D30" s="17"/>
    </row>
    <row r="31" spans="2:8" x14ac:dyDescent="0.2">
      <c r="B31" s="1" t="s">
        <v>24</v>
      </c>
      <c r="C31" s="12"/>
      <c r="D31" s="12"/>
    </row>
    <row r="32" spans="2:8" x14ac:dyDescent="0.2">
      <c r="B32" s="1" t="s">
        <v>25</v>
      </c>
      <c r="C32" s="12"/>
      <c r="D32" s="12"/>
    </row>
    <row r="33" spans="2:4" x14ac:dyDescent="0.2">
      <c r="B33" s="1" t="s">
        <v>26</v>
      </c>
      <c r="C33" s="12"/>
      <c r="D33" s="12"/>
    </row>
    <row r="34" spans="2:4" x14ac:dyDescent="0.2">
      <c r="B34" s="1" t="s">
        <v>27</v>
      </c>
      <c r="C34" s="20"/>
      <c r="D34" s="20"/>
    </row>
    <row r="35" spans="2:4" x14ac:dyDescent="0.2">
      <c r="B35" s="1" t="s">
        <v>28</v>
      </c>
      <c r="C35" s="17"/>
      <c r="D35" s="17"/>
    </row>
    <row r="36" spans="2:4" x14ac:dyDescent="0.2">
      <c r="B36" s="18" t="s">
        <v>29</v>
      </c>
    </row>
    <row r="37" spans="2:4" x14ac:dyDescent="0.2">
      <c r="B37" s="1" t="s">
        <v>30</v>
      </c>
      <c r="C37" s="12"/>
      <c r="D37" s="12"/>
    </row>
    <row r="38" spans="2:4" x14ac:dyDescent="0.2">
      <c r="B38" s="1" t="s">
        <v>31</v>
      </c>
      <c r="C38" s="20"/>
      <c r="D38" s="20"/>
    </row>
    <row r="39" spans="2:4" x14ac:dyDescent="0.2">
      <c r="B39" s="1" t="s">
        <v>32</v>
      </c>
      <c r="C39" s="12"/>
      <c r="D39" s="12"/>
    </row>
    <row r="40" spans="2:4" x14ac:dyDescent="0.2">
      <c r="B40" s="1" t="s">
        <v>33</v>
      </c>
      <c r="C40" s="13"/>
      <c r="D40" s="13"/>
    </row>
    <row r="41" spans="2:4" x14ac:dyDescent="0.2">
      <c r="B41" s="1" t="s">
        <v>34</v>
      </c>
      <c r="C41" s="13"/>
      <c r="D41" s="13"/>
    </row>
    <row r="42" spans="2:4" x14ac:dyDescent="0.2">
      <c r="B42" s="1" t="s">
        <v>35</v>
      </c>
      <c r="C42" s="20"/>
      <c r="D42" s="20"/>
    </row>
    <row r="43" spans="2:4" x14ac:dyDescent="0.2">
      <c r="B43" s="18" t="s">
        <v>36</v>
      </c>
      <c r="C43" s="13"/>
      <c r="D43" s="13"/>
    </row>
    <row r="44" spans="2:4" x14ac:dyDescent="0.2">
      <c r="B44" s="1" t="s">
        <v>37</v>
      </c>
      <c r="C44" s="12"/>
      <c r="D44" s="12"/>
    </row>
    <row r="45" spans="2:4" x14ac:dyDescent="0.2">
      <c r="B45" s="1" t="s">
        <v>38</v>
      </c>
      <c r="C45" s="12"/>
      <c r="D45" s="12"/>
    </row>
    <row r="47" spans="2:4" x14ac:dyDescent="0.2">
      <c r="B47" s="8" t="s">
        <v>39</v>
      </c>
    </row>
    <row r="48" spans="2:4" x14ac:dyDescent="0.2">
      <c r="B48" s="18" t="s">
        <v>40</v>
      </c>
    </row>
    <row r="49" spans="2:4" x14ac:dyDescent="0.2">
      <c r="B49" s="1" t="s">
        <v>41</v>
      </c>
      <c r="C49" s="21"/>
      <c r="D49" s="21"/>
    </row>
    <row r="50" spans="2:4" x14ac:dyDescent="0.2">
      <c r="B50" s="1" t="s">
        <v>42</v>
      </c>
      <c r="C50" s="17"/>
      <c r="D50" s="17"/>
    </row>
    <row r="51" spans="2:4" x14ac:dyDescent="0.2">
      <c r="B51" s="1" t="s">
        <v>43</v>
      </c>
      <c r="C51" s="17"/>
      <c r="D51" s="17"/>
    </row>
    <row r="52" spans="2:4" x14ac:dyDescent="0.2">
      <c r="B52" s="1" t="s">
        <v>44</v>
      </c>
      <c r="C52" s="20"/>
      <c r="D52" s="20"/>
    </row>
    <row r="53" spans="2:4" x14ac:dyDescent="0.2">
      <c r="B53" s="1" t="s">
        <v>45</v>
      </c>
      <c r="C53" s="20"/>
      <c r="D53" s="20"/>
    </row>
    <row r="54" spans="2:4" x14ac:dyDescent="0.2">
      <c r="B54" s="1" t="s">
        <v>46</v>
      </c>
      <c r="C54" s="20"/>
      <c r="D54" s="20"/>
    </row>
    <row r="55" spans="2:4" x14ac:dyDescent="0.2">
      <c r="B55" s="1" t="s">
        <v>47</v>
      </c>
      <c r="C55" s="20"/>
      <c r="D55" s="20"/>
    </row>
    <row r="56" spans="2:4" x14ac:dyDescent="0.2">
      <c r="B56" s="18" t="s">
        <v>48</v>
      </c>
    </row>
    <row r="57" spans="2:4" x14ac:dyDescent="0.2">
      <c r="B57" s="1" t="s">
        <v>49</v>
      </c>
      <c r="C57" s="12"/>
      <c r="D57" s="12"/>
    </row>
    <row r="58" spans="2:4" x14ac:dyDescent="0.2">
      <c r="B58" s="1" t="s">
        <v>50</v>
      </c>
      <c r="C58" s="12"/>
      <c r="D58" s="12"/>
    </row>
    <row r="59" spans="2:4" x14ac:dyDescent="0.2">
      <c r="B59" s="1" t="s">
        <v>51</v>
      </c>
      <c r="C59" s="12"/>
      <c r="D59" s="12"/>
    </row>
    <row r="60" spans="2:4" x14ac:dyDescent="0.2">
      <c r="B60" s="1" t="s">
        <v>52</v>
      </c>
      <c r="C60" s="12"/>
      <c r="D60" s="12"/>
    </row>
    <row r="61" spans="2:4" x14ac:dyDescent="0.2">
      <c r="B61" s="1" t="s">
        <v>53</v>
      </c>
      <c r="C61" s="17"/>
      <c r="D61" s="17"/>
    </row>
    <row r="62" spans="2:4" x14ac:dyDescent="0.2">
      <c r="B62" s="1" t="s">
        <v>54</v>
      </c>
      <c r="C62" s="17"/>
      <c r="D62" s="17"/>
    </row>
    <row r="63" spans="2:4" x14ac:dyDescent="0.2">
      <c r="B63" s="1" t="s">
        <v>55</v>
      </c>
      <c r="C63" s="12"/>
      <c r="D63" s="12"/>
    </row>
    <row r="64" spans="2:4" x14ac:dyDescent="0.2">
      <c r="B64" s="1" t="s">
        <v>56</v>
      </c>
    </row>
    <row r="65" spans="2:7" x14ac:dyDescent="0.2">
      <c r="B65" s="1" t="s">
        <v>57</v>
      </c>
      <c r="C65" s="17"/>
      <c r="D65" s="17"/>
    </row>
    <row r="66" spans="2:7" x14ac:dyDescent="0.2">
      <c r="B66" s="1" t="s">
        <v>58</v>
      </c>
      <c r="C66" s="12"/>
      <c r="D66" s="12"/>
    </row>
    <row r="67" spans="2:7" x14ac:dyDescent="0.2">
      <c r="B67" s="18" t="s">
        <v>59</v>
      </c>
    </row>
    <row r="68" spans="2:7" x14ac:dyDescent="0.2">
      <c r="B68" s="1" t="s">
        <v>60</v>
      </c>
      <c r="C68" s="20"/>
      <c r="D68" s="20"/>
    </row>
    <row r="69" spans="2:7" x14ac:dyDescent="0.2">
      <c r="B69" s="1" t="s">
        <v>61</v>
      </c>
      <c r="C69" s="17"/>
      <c r="D69" s="17"/>
    </row>
    <row r="70" spans="2:7" x14ac:dyDescent="0.2">
      <c r="B70" s="1" t="s">
        <v>62</v>
      </c>
      <c r="C70" s="20"/>
      <c r="D70" s="20"/>
    </row>
    <row r="71" spans="2:7" x14ac:dyDescent="0.2">
      <c r="B71" s="1" t="s">
        <v>63</v>
      </c>
      <c r="C71" s="17"/>
      <c r="D71" s="17"/>
    </row>
    <row r="72" spans="2:7" x14ac:dyDescent="0.2">
      <c r="B72" s="1" t="s">
        <v>64</v>
      </c>
      <c r="C72" s="17"/>
      <c r="D72" s="17"/>
    </row>
    <row r="73" spans="2:7" x14ac:dyDescent="0.2">
      <c r="B73" s="1" t="s">
        <v>65</v>
      </c>
      <c r="C73" s="17"/>
      <c r="D73" s="17"/>
    </row>
    <row r="74" spans="2:7" x14ac:dyDescent="0.2">
      <c r="B74" s="1" t="s">
        <v>66</v>
      </c>
      <c r="C74" s="16"/>
      <c r="D74" s="16"/>
    </row>
    <row r="75" spans="2:7" x14ac:dyDescent="0.2">
      <c r="B75" s="1" t="s">
        <v>67</v>
      </c>
      <c r="C75" s="16"/>
      <c r="D75" s="16"/>
    </row>
    <row r="76" spans="2:7" x14ac:dyDescent="0.2">
      <c r="B76" s="1" t="s">
        <v>68</v>
      </c>
      <c r="C76" s="16"/>
      <c r="D76" s="16"/>
    </row>
    <row r="77" spans="2:7" x14ac:dyDescent="0.2">
      <c r="B77" s="1" t="s">
        <v>69</v>
      </c>
      <c r="C77" s="16"/>
      <c r="D77" s="16"/>
    </row>
    <row r="79" spans="2:7" x14ac:dyDescent="0.2">
      <c r="D79" s="16"/>
      <c r="F79" s="1" t="s">
        <v>76</v>
      </c>
      <c r="G79" s="16" t="e">
        <f ca="1">[1]!RCHGetElementNumber(Ticker,1285)</f>
        <v>#NAME?</v>
      </c>
    </row>
    <row r="80" spans="2:7" x14ac:dyDescent="0.2">
      <c r="D80" s="22"/>
      <c r="F80" s="1" t="s">
        <v>77</v>
      </c>
      <c r="G80" s="22" t="e">
        <f ca="1">[1]!RCHGetElementNumber(Ticker,938)</f>
        <v>#NAME?</v>
      </c>
    </row>
    <row r="81" spans="3:7" x14ac:dyDescent="0.2">
      <c r="D81" s="22"/>
      <c r="F81" s="1" t="s">
        <v>78</v>
      </c>
      <c r="G81" s="22" t="e">
        <f ca="1">[1]!RCHGetElementNumber(Ticker,939)</f>
        <v>#NAME?</v>
      </c>
    </row>
    <row r="82" spans="3:7" x14ac:dyDescent="0.2">
      <c r="D82" s="23"/>
      <c r="E82" s="23"/>
      <c r="F82" s="24" t="s">
        <v>70</v>
      </c>
      <c r="G82" s="23" t="e">
        <f ca="1">[1]!RCHGetElementNumber(Ticker,13863)</f>
        <v>#NAME?</v>
      </c>
    </row>
    <row r="83" spans="3:7" x14ac:dyDescent="0.2">
      <c r="D83" s="23"/>
      <c r="E83" s="23"/>
      <c r="F83" s="24" t="s">
        <v>71</v>
      </c>
      <c r="G83" s="23" t="e">
        <f ca="1">[1]!RCHGetElementNumber(Ticker,13864)</f>
        <v>#NAME?</v>
      </c>
    </row>
    <row r="84" spans="3:7" x14ac:dyDescent="0.2">
      <c r="D84" s="23"/>
      <c r="E84" s="23"/>
      <c r="F84" s="24" t="s">
        <v>72</v>
      </c>
      <c r="G84" s="23" t="e">
        <f ca="1">[1]!RCHGetElementNumber(Ticker,13865)</f>
        <v>#NAME?</v>
      </c>
    </row>
    <row r="85" spans="3:7" x14ac:dyDescent="0.2">
      <c r="D85" s="23"/>
      <c r="E85" s="23"/>
      <c r="F85" s="24" t="s">
        <v>73</v>
      </c>
      <c r="G85" s="23" t="e">
        <f ca="1">[1]!RCHGetElementNumber(Ticker,13866)</f>
        <v>#NAME?</v>
      </c>
    </row>
    <row r="86" spans="3:7" x14ac:dyDescent="0.2">
      <c r="D86" s="23"/>
      <c r="E86" s="23"/>
      <c r="F86" s="24" t="s">
        <v>74</v>
      </c>
      <c r="G86" s="23" t="e">
        <f ca="1">[1]!RCHGetElementNumber(Ticker,13867)</f>
        <v>#NAME?</v>
      </c>
    </row>
    <row r="87" spans="3:7" x14ac:dyDescent="0.2">
      <c r="D87" s="23"/>
      <c r="E87" s="23"/>
      <c r="F87" s="24" t="s">
        <v>75</v>
      </c>
      <c r="G87" s="23" t="e">
        <f ca="1">[1]!RCHGetElementNumber(Ticker,13868)</f>
        <v>#NAME?</v>
      </c>
    </row>
    <row r="88" spans="3:7" x14ac:dyDescent="0.2">
      <c r="C88" s="1"/>
      <c r="F88" s="9"/>
    </row>
    <row r="89" spans="3:7" x14ac:dyDescent="0.2">
      <c r="C89" s="1"/>
      <c r="F89" s="9"/>
    </row>
    <row r="90" spans="3:7" x14ac:dyDescent="0.2">
      <c r="C90" s="1"/>
      <c r="F90" s="9"/>
    </row>
    <row r="91" spans="3:7" x14ac:dyDescent="0.2">
      <c r="C91" s="1"/>
      <c r="F91" s="9"/>
    </row>
    <row r="92" spans="3:7" x14ac:dyDescent="0.2">
      <c r="C92" s="1"/>
      <c r="F92" s="9"/>
    </row>
    <row r="93" spans="3:7" x14ac:dyDescent="0.2">
      <c r="C93" s="1"/>
      <c r="F93" s="9"/>
    </row>
    <row r="94" spans="3:7" x14ac:dyDescent="0.2">
      <c r="C94" s="1"/>
      <c r="F94" s="9"/>
    </row>
    <row r="95" spans="3:7" x14ac:dyDescent="0.2">
      <c r="C95" s="1"/>
      <c r="F95" s="9"/>
    </row>
    <row r="96" spans="3:7" x14ac:dyDescent="0.2">
      <c r="C96" s="1"/>
      <c r="F96" s="9"/>
    </row>
    <row r="97" spans="3:6" x14ac:dyDescent="0.2">
      <c r="C97" s="1"/>
      <c r="F97" s="9"/>
    </row>
    <row r="98" spans="3:6" x14ac:dyDescent="0.2">
      <c r="C98" s="1"/>
      <c r="F98" s="9"/>
    </row>
    <row r="99" spans="3:6" x14ac:dyDescent="0.2">
      <c r="C99" s="1"/>
      <c r="F99" s="9"/>
    </row>
    <row r="100" spans="3:6" x14ac:dyDescent="0.2">
      <c r="C100" s="1"/>
      <c r="F100" s="9"/>
    </row>
    <row r="101" spans="3:6" x14ac:dyDescent="0.2">
      <c r="C101" s="1"/>
      <c r="F101" s="9"/>
    </row>
    <row r="102" spans="3:6" x14ac:dyDescent="0.2">
      <c r="C102" s="1"/>
      <c r="F102" s="9"/>
    </row>
    <row r="103" spans="3:6" x14ac:dyDescent="0.2">
      <c r="C103" s="1"/>
      <c r="F103" s="9"/>
    </row>
    <row r="104" spans="3:6" x14ac:dyDescent="0.2">
      <c r="C104" s="1"/>
      <c r="F104" s="9"/>
    </row>
    <row r="105" spans="3:6" x14ac:dyDescent="0.2">
      <c r="C105" s="1"/>
      <c r="F105" s="9"/>
    </row>
    <row r="106" spans="3:6" x14ac:dyDescent="0.2">
      <c r="C106" s="1"/>
      <c r="F106" s="9"/>
    </row>
    <row r="107" spans="3:6" x14ac:dyDescent="0.2">
      <c r="C107" s="1"/>
      <c r="F107" s="9"/>
    </row>
    <row r="108" spans="3:6" x14ac:dyDescent="0.2">
      <c r="C108" s="1"/>
      <c r="F108" s="9"/>
    </row>
    <row r="109" spans="3:6" x14ac:dyDescent="0.2">
      <c r="C109" s="1"/>
      <c r="F109" s="9"/>
    </row>
    <row r="110" spans="3:6" x14ac:dyDescent="0.2">
      <c r="C110" s="1"/>
      <c r="F110" s="9"/>
    </row>
    <row r="111" spans="3:6" x14ac:dyDescent="0.2">
      <c r="C111" s="1"/>
      <c r="F111" s="9"/>
    </row>
    <row r="112" spans="3:6" x14ac:dyDescent="0.2">
      <c r="C112" s="1"/>
      <c r="F112" s="9"/>
    </row>
    <row r="113" spans="3:6" x14ac:dyDescent="0.2">
      <c r="C113" s="1"/>
      <c r="F113" s="9"/>
    </row>
    <row r="114" spans="3:6" x14ac:dyDescent="0.2">
      <c r="C114" s="1"/>
      <c r="F114" s="9"/>
    </row>
    <row r="115" spans="3:6" x14ac:dyDescent="0.2">
      <c r="C115" s="1"/>
      <c r="F115" s="9"/>
    </row>
    <row r="116" spans="3:6" x14ac:dyDescent="0.2">
      <c r="C116" s="1"/>
      <c r="F116" s="9"/>
    </row>
    <row r="117" spans="3:6" x14ac:dyDescent="0.2">
      <c r="C117" s="1"/>
      <c r="F117" s="9"/>
    </row>
    <row r="118" spans="3:6" x14ac:dyDescent="0.2">
      <c r="C118" s="1"/>
      <c r="F118" s="9"/>
    </row>
    <row r="119" spans="3:6" x14ac:dyDescent="0.2">
      <c r="C119" s="1"/>
      <c r="F119" s="9"/>
    </row>
    <row r="120" spans="3:6" x14ac:dyDescent="0.2">
      <c r="C120" s="1"/>
      <c r="F120" s="9"/>
    </row>
    <row r="121" spans="3:6" x14ac:dyDescent="0.2">
      <c r="C121" s="1"/>
      <c r="F121" s="9"/>
    </row>
    <row r="122" spans="3:6" x14ac:dyDescent="0.2">
      <c r="C122" s="1"/>
      <c r="F122" s="9"/>
    </row>
    <row r="123" spans="3:6" x14ac:dyDescent="0.2">
      <c r="C123" s="1"/>
      <c r="F123" s="9"/>
    </row>
    <row r="124" spans="3:6" x14ac:dyDescent="0.2">
      <c r="C124" s="1"/>
      <c r="F124" s="9"/>
    </row>
    <row r="125" spans="3:6" x14ac:dyDescent="0.2">
      <c r="C125" s="1"/>
      <c r="F125" s="9"/>
    </row>
    <row r="126" spans="3:6" x14ac:dyDescent="0.2">
      <c r="C126" s="1"/>
      <c r="F126" s="9"/>
    </row>
    <row r="127" spans="3:6" x14ac:dyDescent="0.2">
      <c r="C127" s="1"/>
      <c r="F127" s="9"/>
    </row>
    <row r="128" spans="3:6" x14ac:dyDescent="0.2">
      <c r="C128" s="1"/>
      <c r="F128" s="9"/>
    </row>
    <row r="129" spans="3:6" x14ac:dyDescent="0.2">
      <c r="C129" s="1"/>
      <c r="F129" s="9"/>
    </row>
    <row r="130" spans="3:6" x14ac:dyDescent="0.2">
      <c r="C130" s="1"/>
      <c r="F130" s="9"/>
    </row>
    <row r="131" spans="3:6" x14ac:dyDescent="0.2">
      <c r="C131" s="1"/>
      <c r="F131" s="9"/>
    </row>
    <row r="132" spans="3:6" x14ac:dyDescent="0.2">
      <c r="C132" s="1"/>
      <c r="F132" s="9"/>
    </row>
    <row r="133" spans="3:6" x14ac:dyDescent="0.2">
      <c r="C133" s="1"/>
      <c r="F133" s="9"/>
    </row>
    <row r="134" spans="3:6" x14ac:dyDescent="0.2">
      <c r="C134" s="1"/>
      <c r="F134" s="9"/>
    </row>
    <row r="135" spans="3:6" x14ac:dyDescent="0.2">
      <c r="C135" s="1"/>
      <c r="F135" s="9"/>
    </row>
    <row r="136" spans="3:6" x14ac:dyDescent="0.2">
      <c r="C136" s="1"/>
      <c r="F136" s="9"/>
    </row>
    <row r="137" spans="3:6" x14ac:dyDescent="0.2">
      <c r="C137" s="1"/>
      <c r="F137" s="9"/>
    </row>
    <row r="138" spans="3:6" x14ac:dyDescent="0.2">
      <c r="C138" s="1"/>
      <c r="F138" s="9"/>
    </row>
    <row r="139" spans="3:6" x14ac:dyDescent="0.2">
      <c r="C139" s="1"/>
      <c r="F139" s="9"/>
    </row>
    <row r="140" spans="3:6" x14ac:dyDescent="0.2">
      <c r="C140" s="1"/>
      <c r="F140" s="9"/>
    </row>
    <row r="141" spans="3:6" x14ac:dyDescent="0.2">
      <c r="C141" s="1"/>
      <c r="F141" s="9"/>
    </row>
    <row r="142" spans="3:6" x14ac:dyDescent="0.2">
      <c r="C142" s="1"/>
      <c r="F142" s="9"/>
    </row>
    <row r="143" spans="3:6" x14ac:dyDescent="0.2">
      <c r="C143" s="1"/>
      <c r="F143" s="9"/>
    </row>
    <row r="144" spans="3:6" x14ac:dyDescent="0.2">
      <c r="C144" s="1"/>
      <c r="F144" s="9"/>
    </row>
    <row r="145" spans="3:6" x14ac:dyDescent="0.2">
      <c r="C145" s="1"/>
      <c r="F145" s="9"/>
    </row>
    <row r="146" spans="3:6" x14ac:dyDescent="0.2">
      <c r="C146" s="1"/>
      <c r="F146" s="9"/>
    </row>
    <row r="147" spans="3:6" x14ac:dyDescent="0.2">
      <c r="C147" s="1"/>
      <c r="F147" s="9"/>
    </row>
    <row r="148" spans="3:6" x14ac:dyDescent="0.2">
      <c r="C148" s="1"/>
      <c r="F148" s="9"/>
    </row>
    <row r="149" spans="3:6" x14ac:dyDescent="0.2">
      <c r="C149" s="1"/>
      <c r="F149" s="9"/>
    </row>
    <row r="150" spans="3:6" x14ac:dyDescent="0.2">
      <c r="C150" s="1"/>
      <c r="F150" s="9"/>
    </row>
    <row r="151" spans="3:6" x14ac:dyDescent="0.2">
      <c r="C151" s="1"/>
      <c r="F151" s="9"/>
    </row>
    <row r="152" spans="3:6" x14ac:dyDescent="0.2">
      <c r="C152" s="1"/>
      <c r="F152" s="9"/>
    </row>
    <row r="153" spans="3:6" x14ac:dyDescent="0.2">
      <c r="C153" s="1"/>
      <c r="F153" s="9"/>
    </row>
    <row r="154" spans="3:6" x14ac:dyDescent="0.2">
      <c r="C154" s="1"/>
      <c r="F154" s="9"/>
    </row>
    <row r="155" spans="3:6" x14ac:dyDescent="0.2">
      <c r="C155" s="1"/>
      <c r="F155" s="9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3:G87"/>
  <sheetViews>
    <sheetView zoomScale="75" zoomScaleNormal="75" workbookViewId="0"/>
  </sheetViews>
  <sheetFormatPr defaultRowHeight="15" x14ac:dyDescent="0.2"/>
  <cols>
    <col min="1" max="1" width="17.7109375" style="25" bestFit="1" customWidth="1"/>
    <col min="2" max="2" width="48" style="25" bestFit="1" customWidth="1"/>
    <col min="3" max="5" width="9.140625" style="25"/>
    <col min="6" max="6" width="34.42578125" style="25" bestFit="1" customWidth="1"/>
    <col min="7" max="7" width="11" style="25" bestFit="1" customWidth="1"/>
    <col min="8" max="16384" width="9.140625" style="25"/>
  </cols>
  <sheetData>
    <row r="3" spans="1:2" x14ac:dyDescent="0.2">
      <c r="B3" s="25" t="s">
        <v>80</v>
      </c>
    </row>
    <row r="5" spans="1:2" x14ac:dyDescent="0.2">
      <c r="A5" s="25" t="s">
        <v>81</v>
      </c>
    </row>
    <row r="6" spans="1:2" x14ac:dyDescent="0.2">
      <c r="B6" s="25" t="s">
        <v>79</v>
      </c>
    </row>
    <row r="7" spans="1:2" x14ac:dyDescent="0.2">
      <c r="B7" s="25" t="s">
        <v>0</v>
      </c>
    </row>
    <row r="8" spans="1:2" x14ac:dyDescent="0.2">
      <c r="B8" s="25" t="s">
        <v>1</v>
      </c>
    </row>
    <row r="9" spans="1:2" x14ac:dyDescent="0.2">
      <c r="B9" s="25" t="s">
        <v>2</v>
      </c>
    </row>
    <row r="10" spans="1:2" x14ac:dyDescent="0.2">
      <c r="B10" s="25" t="s">
        <v>3</v>
      </c>
    </row>
    <row r="11" spans="1:2" x14ac:dyDescent="0.2">
      <c r="B11" s="25" t="s">
        <v>4</v>
      </c>
    </row>
    <row r="12" spans="1:2" x14ac:dyDescent="0.2">
      <c r="B12" s="25" t="s">
        <v>5</v>
      </c>
    </row>
    <row r="13" spans="1:2" x14ac:dyDescent="0.2">
      <c r="B13" s="25" t="s">
        <v>6</v>
      </c>
    </row>
    <row r="14" spans="1:2" x14ac:dyDescent="0.2">
      <c r="B14" s="25" t="s">
        <v>7</v>
      </c>
    </row>
    <row r="15" spans="1:2" x14ac:dyDescent="0.2">
      <c r="B15" s="25" t="s">
        <v>8</v>
      </c>
    </row>
    <row r="16" spans="1:2" x14ac:dyDescent="0.2">
      <c r="B16" s="25" t="s">
        <v>9</v>
      </c>
    </row>
    <row r="17" spans="2:2" x14ac:dyDescent="0.2">
      <c r="B17" s="25" t="s">
        <v>10</v>
      </c>
    </row>
    <row r="18" spans="2:2" x14ac:dyDescent="0.2">
      <c r="B18" s="25" t="s">
        <v>11</v>
      </c>
    </row>
    <row r="19" spans="2:2" x14ac:dyDescent="0.2">
      <c r="B19" s="25" t="s">
        <v>12</v>
      </c>
    </row>
    <row r="20" spans="2:2" x14ac:dyDescent="0.2">
      <c r="B20" s="25" t="s">
        <v>13</v>
      </c>
    </row>
    <row r="21" spans="2:2" x14ac:dyDescent="0.2">
      <c r="B21" s="25" t="s">
        <v>14</v>
      </c>
    </row>
    <row r="22" spans="2:2" x14ac:dyDescent="0.2">
      <c r="B22" s="25" t="s">
        <v>15</v>
      </c>
    </row>
    <row r="23" spans="2:2" x14ac:dyDescent="0.2">
      <c r="B23" s="25" t="s">
        <v>16</v>
      </c>
    </row>
    <row r="24" spans="2:2" x14ac:dyDescent="0.2">
      <c r="B24" s="25" t="s">
        <v>17</v>
      </c>
    </row>
    <row r="25" spans="2:2" x14ac:dyDescent="0.2">
      <c r="B25" s="25" t="s">
        <v>18</v>
      </c>
    </row>
    <row r="26" spans="2:2" x14ac:dyDescent="0.2">
      <c r="B26" s="25" t="s">
        <v>19</v>
      </c>
    </row>
    <row r="27" spans="2:2" x14ac:dyDescent="0.2">
      <c r="B27" s="25" t="s">
        <v>20</v>
      </c>
    </row>
    <row r="28" spans="2:2" x14ac:dyDescent="0.2">
      <c r="B28" s="25" t="s">
        <v>21</v>
      </c>
    </row>
    <row r="29" spans="2:2" x14ac:dyDescent="0.2">
      <c r="B29" s="25" t="s">
        <v>22</v>
      </c>
    </row>
    <row r="30" spans="2:2" x14ac:dyDescent="0.2">
      <c r="B30" s="25" t="s">
        <v>23</v>
      </c>
    </row>
    <row r="31" spans="2:2" x14ac:dyDescent="0.2">
      <c r="B31" s="25" t="s">
        <v>24</v>
      </c>
    </row>
    <row r="32" spans="2:2" x14ac:dyDescent="0.2">
      <c r="B32" s="25" t="s">
        <v>25</v>
      </c>
    </row>
    <row r="33" spans="2:2" x14ac:dyDescent="0.2">
      <c r="B33" s="25" t="s">
        <v>26</v>
      </c>
    </row>
    <row r="34" spans="2:2" x14ac:dyDescent="0.2">
      <c r="B34" s="25" t="s">
        <v>27</v>
      </c>
    </row>
    <row r="35" spans="2:2" x14ac:dyDescent="0.2">
      <c r="B35" s="25" t="s">
        <v>28</v>
      </c>
    </row>
    <row r="36" spans="2:2" x14ac:dyDescent="0.2">
      <c r="B36" s="25" t="s">
        <v>29</v>
      </c>
    </row>
    <row r="37" spans="2:2" x14ac:dyDescent="0.2">
      <c r="B37" s="25" t="s">
        <v>30</v>
      </c>
    </row>
    <row r="38" spans="2:2" x14ac:dyDescent="0.2">
      <c r="B38" s="25" t="s">
        <v>31</v>
      </c>
    </row>
    <row r="39" spans="2:2" x14ac:dyDescent="0.2">
      <c r="B39" s="25" t="s">
        <v>32</v>
      </c>
    </row>
    <row r="40" spans="2:2" x14ac:dyDescent="0.2">
      <c r="B40" s="25" t="s">
        <v>33</v>
      </c>
    </row>
    <row r="41" spans="2:2" x14ac:dyDescent="0.2">
      <c r="B41" s="25" t="s">
        <v>34</v>
      </c>
    </row>
    <row r="42" spans="2:2" x14ac:dyDescent="0.2">
      <c r="B42" s="25" t="s">
        <v>35</v>
      </c>
    </row>
    <row r="43" spans="2:2" x14ac:dyDescent="0.2">
      <c r="B43" s="25" t="s">
        <v>36</v>
      </c>
    </row>
    <row r="44" spans="2:2" x14ac:dyDescent="0.2">
      <c r="B44" s="25" t="s">
        <v>37</v>
      </c>
    </row>
    <row r="45" spans="2:2" x14ac:dyDescent="0.2">
      <c r="B45" s="25" t="s">
        <v>38</v>
      </c>
    </row>
    <row r="47" spans="2:2" x14ac:dyDescent="0.2">
      <c r="B47" s="25" t="s">
        <v>39</v>
      </c>
    </row>
    <row r="48" spans="2:2" x14ac:dyDescent="0.2">
      <c r="B48" s="25" t="s">
        <v>40</v>
      </c>
    </row>
    <row r="49" spans="2:2" x14ac:dyDescent="0.2">
      <c r="B49" s="25" t="s">
        <v>41</v>
      </c>
    </row>
    <row r="50" spans="2:2" x14ac:dyDescent="0.2">
      <c r="B50" s="25" t="s">
        <v>42</v>
      </c>
    </row>
    <row r="51" spans="2:2" x14ac:dyDescent="0.2">
      <c r="B51" s="25" t="s">
        <v>43</v>
      </c>
    </row>
    <row r="52" spans="2:2" x14ac:dyDescent="0.2">
      <c r="B52" s="25" t="s">
        <v>44</v>
      </c>
    </row>
    <row r="53" spans="2:2" x14ac:dyDescent="0.2">
      <c r="B53" s="25" t="s">
        <v>45</v>
      </c>
    </row>
    <row r="54" spans="2:2" x14ac:dyDescent="0.2">
      <c r="B54" s="25" t="s">
        <v>46</v>
      </c>
    </row>
    <row r="55" spans="2:2" x14ac:dyDescent="0.2">
      <c r="B55" s="25" t="s">
        <v>47</v>
      </c>
    </row>
    <row r="56" spans="2:2" x14ac:dyDescent="0.2">
      <c r="B56" s="25" t="s">
        <v>48</v>
      </c>
    </row>
    <row r="57" spans="2:2" x14ac:dyDescent="0.2">
      <c r="B57" s="25" t="s">
        <v>49</v>
      </c>
    </row>
    <row r="58" spans="2:2" x14ac:dyDescent="0.2">
      <c r="B58" s="25" t="s">
        <v>50</v>
      </c>
    </row>
    <row r="59" spans="2:2" x14ac:dyDescent="0.2">
      <c r="B59" s="25" t="s">
        <v>51</v>
      </c>
    </row>
    <row r="60" spans="2:2" x14ac:dyDescent="0.2">
      <c r="B60" s="25" t="s">
        <v>52</v>
      </c>
    </row>
    <row r="61" spans="2:2" x14ac:dyDescent="0.2">
      <c r="B61" s="25" t="s">
        <v>53</v>
      </c>
    </row>
    <row r="62" spans="2:2" x14ac:dyDescent="0.2">
      <c r="B62" s="25" t="s">
        <v>54</v>
      </c>
    </row>
    <row r="63" spans="2:2" x14ac:dyDescent="0.2">
      <c r="B63" s="25" t="s">
        <v>55</v>
      </c>
    </row>
    <row r="64" spans="2:2" x14ac:dyDescent="0.2">
      <c r="B64" s="25" t="s">
        <v>56</v>
      </c>
    </row>
    <row r="65" spans="2:7" x14ac:dyDescent="0.2">
      <c r="B65" s="25" t="s">
        <v>57</v>
      </c>
    </row>
    <row r="66" spans="2:7" x14ac:dyDescent="0.2">
      <c r="B66" s="25" t="s">
        <v>58</v>
      </c>
    </row>
    <row r="67" spans="2:7" x14ac:dyDescent="0.2">
      <c r="B67" s="25" t="s">
        <v>59</v>
      </c>
    </row>
    <row r="68" spans="2:7" x14ac:dyDescent="0.2">
      <c r="B68" s="25" t="s">
        <v>60</v>
      </c>
    </row>
    <row r="69" spans="2:7" x14ac:dyDescent="0.2">
      <c r="B69" s="25" t="s">
        <v>61</v>
      </c>
    </row>
    <row r="70" spans="2:7" x14ac:dyDescent="0.2">
      <c r="B70" s="25" t="s">
        <v>62</v>
      </c>
    </row>
    <row r="71" spans="2:7" x14ac:dyDescent="0.2">
      <c r="B71" s="25" t="s">
        <v>63</v>
      </c>
    </row>
    <row r="72" spans="2:7" x14ac:dyDescent="0.2">
      <c r="B72" s="25" t="s">
        <v>64</v>
      </c>
    </row>
    <row r="73" spans="2:7" x14ac:dyDescent="0.2">
      <c r="B73" s="25" t="s">
        <v>65</v>
      </c>
    </row>
    <row r="74" spans="2:7" x14ac:dyDescent="0.2">
      <c r="B74" s="25" t="s">
        <v>66</v>
      </c>
    </row>
    <row r="75" spans="2:7" x14ac:dyDescent="0.2">
      <c r="B75" s="25" t="s">
        <v>67</v>
      </c>
    </row>
    <row r="76" spans="2:7" x14ac:dyDescent="0.2">
      <c r="B76" s="25" t="s">
        <v>68</v>
      </c>
    </row>
    <row r="77" spans="2:7" x14ac:dyDescent="0.2">
      <c r="B77" s="25" t="s">
        <v>69</v>
      </c>
    </row>
    <row r="79" spans="2:7" x14ac:dyDescent="0.2">
      <c r="F79" s="25" t="s">
        <v>76</v>
      </c>
      <c r="G79" s="25" t="e">
        <v>#NAME?</v>
      </c>
    </row>
    <row r="80" spans="2:7" x14ac:dyDescent="0.2">
      <c r="F80" s="25" t="s">
        <v>77</v>
      </c>
      <c r="G80" s="25" t="e">
        <v>#NAME?</v>
      </c>
    </row>
    <row r="81" spans="6:7" x14ac:dyDescent="0.2">
      <c r="F81" s="25" t="s">
        <v>78</v>
      </c>
      <c r="G81" s="25" t="e">
        <v>#NAME?</v>
      </c>
    </row>
    <row r="82" spans="6:7" x14ac:dyDescent="0.2">
      <c r="F82" s="25" t="s">
        <v>70</v>
      </c>
      <c r="G82" s="25" t="e">
        <v>#NAME?</v>
      </c>
    </row>
    <row r="83" spans="6:7" x14ac:dyDescent="0.2">
      <c r="F83" s="25" t="s">
        <v>71</v>
      </c>
      <c r="G83" s="25" t="e">
        <v>#NAME?</v>
      </c>
    </row>
    <row r="84" spans="6:7" x14ac:dyDescent="0.2">
      <c r="F84" s="25" t="s">
        <v>72</v>
      </c>
      <c r="G84" s="25" t="e">
        <v>#NAME?</v>
      </c>
    </row>
    <row r="85" spans="6:7" x14ac:dyDescent="0.2">
      <c r="F85" s="25" t="s">
        <v>73</v>
      </c>
      <c r="G85" s="25" t="e">
        <v>#NAME?</v>
      </c>
    </row>
    <row r="86" spans="6:7" x14ac:dyDescent="0.2">
      <c r="F86" s="25" t="s">
        <v>74</v>
      </c>
      <c r="G86" s="25" t="e">
        <v>#NAME?</v>
      </c>
    </row>
    <row r="87" spans="6:7" x14ac:dyDescent="0.2">
      <c r="F87" s="25" t="s">
        <v>75</v>
      </c>
      <c r="G87" s="25" t="e">
        <v>#NAME?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168</vt:i4>
      </vt:variant>
      <vt:variant>
        <vt:lpstr>Named Ranges</vt:lpstr>
      </vt:variant>
      <vt:variant>
        <vt:i4>1</vt:i4>
      </vt:variant>
    </vt:vector>
  </HeadingPairs>
  <TitlesOfParts>
    <vt:vector size="169" baseType="lpstr">
      <vt:lpstr>Sheet1</vt:lpstr>
      <vt:lpstr>W</vt:lpstr>
      <vt:lpstr>WAB</vt:lpstr>
      <vt:lpstr>WABC</vt:lpstr>
      <vt:lpstr>WACLY</vt:lpstr>
      <vt:lpstr>WACMY</vt:lpstr>
      <vt:lpstr>WAFD</vt:lpstr>
      <vt:lpstr>WAFU</vt:lpstr>
      <vt:lpstr>WAI</vt:lpstr>
      <vt:lpstr>WAL</vt:lpstr>
      <vt:lpstr>WALD</vt:lpstr>
      <vt:lpstr>WARFY</vt:lpstr>
      <vt:lpstr>WASH</vt:lpstr>
      <vt:lpstr>WAT</vt:lpstr>
      <vt:lpstr>WATT</vt:lpstr>
      <vt:lpstr>WAVE</vt:lpstr>
      <vt:lpstr>WAY</vt:lpstr>
      <vt:lpstr>WB</vt:lpstr>
      <vt:lpstr>WBD</vt:lpstr>
      <vt:lpstr>WBI</vt:lpstr>
      <vt:lpstr>WBKCY</vt:lpstr>
      <vt:lpstr>WBRBY</vt:lpstr>
      <vt:lpstr>WBS</vt:lpstr>
      <vt:lpstr>WBTN</vt:lpstr>
      <vt:lpstr>WBUY</vt:lpstr>
      <vt:lpstr>WBX</vt:lpstr>
      <vt:lpstr>WCC</vt:lpstr>
      <vt:lpstr>WCCB</vt:lpstr>
      <vt:lpstr>WCFB</vt:lpstr>
      <vt:lpstr>WCN</vt:lpstr>
      <vt:lpstr>WCT</vt:lpstr>
      <vt:lpstr>WD</vt:lpstr>
      <vt:lpstr>WDAY</vt:lpstr>
      <vt:lpstr>WDC</vt:lpstr>
      <vt:lpstr>WDFC</vt:lpstr>
      <vt:lpstr>WDFN</vt:lpstr>
      <vt:lpstr>WDH</vt:lpstr>
      <vt:lpstr>WDS</vt:lpstr>
      <vt:lpstr>WEAV</vt:lpstr>
      <vt:lpstr>WEC</vt:lpstr>
      <vt:lpstr>WEGRY</vt:lpstr>
      <vt:lpstr>WEGZY</vt:lpstr>
      <vt:lpstr>WELL</vt:lpstr>
      <vt:lpstr>WEN</vt:lpstr>
      <vt:lpstr>WERN</vt:lpstr>
      <vt:lpstr>WES</vt:lpstr>
      <vt:lpstr>WEST</vt:lpstr>
      <vt:lpstr>WETH</vt:lpstr>
      <vt:lpstr>WETO</vt:lpstr>
      <vt:lpstr>WEX</vt:lpstr>
      <vt:lpstr>WEYS</vt:lpstr>
      <vt:lpstr>WF</vt:lpstr>
      <vt:lpstr>WFAFY</vt:lpstr>
      <vt:lpstr>WFC</vt:lpstr>
      <vt:lpstr>WFCF</vt:lpstr>
      <vt:lpstr>WFF</vt:lpstr>
      <vt:lpstr>WFG</vt:lpstr>
      <vt:lpstr>WFRD</vt:lpstr>
      <vt:lpstr>WGO</vt:lpstr>
      <vt:lpstr>WGRX</vt:lpstr>
      <vt:lpstr>WGS</vt:lpstr>
      <vt:lpstr>WH</vt:lpstr>
      <vt:lpstr>WHD</vt:lpstr>
      <vt:lpstr>WHG</vt:lpstr>
      <vt:lpstr>WHGLY</vt:lpstr>
      <vt:lpstr>WHLM</vt:lpstr>
      <vt:lpstr>WHLR</vt:lpstr>
      <vt:lpstr>WHR</vt:lpstr>
      <vt:lpstr>WHWK</vt:lpstr>
      <vt:lpstr>WIGBY</vt:lpstr>
      <vt:lpstr>WILWY</vt:lpstr>
      <vt:lpstr>WILYY</vt:lpstr>
      <vt:lpstr>WIMI</vt:lpstr>
      <vt:lpstr>WINA</vt:lpstr>
      <vt:lpstr>WING</vt:lpstr>
      <vt:lpstr>WIT</vt:lpstr>
      <vt:lpstr>WIX</vt:lpstr>
      <vt:lpstr>WIZEY</vt:lpstr>
      <vt:lpstr>WJRYY</vt:lpstr>
      <vt:lpstr>WK</vt:lpstr>
      <vt:lpstr>WKC</vt:lpstr>
      <vt:lpstr>WKEY</vt:lpstr>
      <vt:lpstr>WKHS</vt:lpstr>
      <vt:lpstr>WKSP</vt:lpstr>
      <vt:lpstr>WLDN</vt:lpstr>
      <vt:lpstr>WLDS</vt:lpstr>
      <vt:lpstr>WLFC</vt:lpstr>
      <vt:lpstr>WLK</vt:lpstr>
      <vt:lpstr>WLKP</vt:lpstr>
      <vt:lpstr>WLMIY</vt:lpstr>
      <vt:lpstr>WLTH</vt:lpstr>
      <vt:lpstr>WLY</vt:lpstr>
      <vt:lpstr>WLYB</vt:lpstr>
      <vt:lpstr>WM</vt:lpstr>
      <vt:lpstr>WMB</vt:lpstr>
      <vt:lpstr>WMG</vt:lpstr>
      <vt:lpstr>WMK</vt:lpstr>
      <vt:lpstr>WMMVY</vt:lpstr>
      <vt:lpstr>WMS</vt:lpstr>
      <vt:lpstr>WMT</vt:lpstr>
      <vt:lpstr>WNC</vt:lpstr>
      <vt:lpstr>WNEB</vt:lpstr>
      <vt:lpstr>WNW</vt:lpstr>
      <vt:lpstr>WOK</vt:lpstr>
      <vt:lpstr>WOLF</vt:lpstr>
      <vt:lpstr>WOOF</vt:lpstr>
      <vt:lpstr>WOR</vt:lpstr>
      <vt:lpstr>WORX</vt:lpstr>
      <vt:lpstr>WPC</vt:lpstr>
      <vt:lpstr>WPM</vt:lpstr>
      <vt:lpstr>WPP</vt:lpstr>
      <vt:lpstr>WPRT</vt:lpstr>
      <vt:lpstr>WRAP</vt:lpstr>
      <vt:lpstr>WRB</vt:lpstr>
      <vt:lpstr>WRBY</vt:lpstr>
      <vt:lpstr>WRD</vt:lpstr>
      <vt:lpstr>WRLD</vt:lpstr>
      <vt:lpstr>WRN</vt:lpstr>
      <vt:lpstr>WRTBY</vt:lpstr>
      <vt:lpstr>WS</vt:lpstr>
      <vt:lpstr>WSBC</vt:lpstr>
      <vt:lpstr>WSBF</vt:lpstr>
      <vt:lpstr>WSBK</vt:lpstr>
      <vt:lpstr>WSC</vt:lpstr>
      <vt:lpstr>WSFS</vt:lpstr>
      <vt:lpstr>WSHP</vt:lpstr>
      <vt:lpstr>WSM</vt:lpstr>
      <vt:lpstr>WSO</vt:lpstr>
      <vt:lpstr>WSO.B</vt:lpstr>
      <vt:lpstr>WSR</vt:lpstr>
      <vt:lpstr>WST</vt:lpstr>
      <vt:lpstr>WSTL</vt:lpstr>
      <vt:lpstr>WT</vt:lpstr>
      <vt:lpstr>WTBA</vt:lpstr>
      <vt:lpstr>WTBDY</vt:lpstr>
      <vt:lpstr>WTBFB</vt:lpstr>
      <vt:lpstr>WTF</vt:lpstr>
      <vt:lpstr>WTFC</vt:lpstr>
      <vt:lpstr>WTI</vt:lpstr>
      <vt:lpstr>WTKWY</vt:lpstr>
      <vt:lpstr>WTM</vt:lpstr>
      <vt:lpstr>WTO</vt:lpstr>
      <vt:lpstr>WTRG</vt:lpstr>
      <vt:lpstr>WTS</vt:lpstr>
      <vt:lpstr>WTTR</vt:lpstr>
      <vt:lpstr>WTW</vt:lpstr>
      <vt:lpstr>WU</vt:lpstr>
      <vt:lpstr>WULF</vt:lpstr>
      <vt:lpstr>WUXAY</vt:lpstr>
      <vt:lpstr>WVE</vt:lpstr>
      <vt:lpstr>WVFC</vt:lpstr>
      <vt:lpstr>WVVI</vt:lpstr>
      <vt:lpstr>WW</vt:lpstr>
      <vt:lpstr>WWD</vt:lpstr>
      <vt:lpstr>WWNTY</vt:lpstr>
      <vt:lpstr>WWR</vt:lpstr>
      <vt:lpstr>WWW</vt:lpstr>
      <vt:lpstr>WXM</vt:lpstr>
      <vt:lpstr>WXXWY</vt:lpstr>
      <vt:lpstr>WY</vt:lpstr>
      <vt:lpstr>WYFI</vt:lpstr>
      <vt:lpstr>WYGPY</vt:lpstr>
      <vt:lpstr>WYHG</vt:lpstr>
      <vt:lpstr>WYNMY</vt:lpstr>
      <vt:lpstr>WYNN</vt:lpstr>
      <vt:lpstr>WYTC</vt:lpstr>
      <vt:lpstr>WYY</vt:lpstr>
      <vt:lpstr>WZZZY</vt:lpstr>
      <vt:lpstr>Ticker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</dc:creator>
  <cp:lastModifiedBy>Owner</cp:lastModifiedBy>
  <dcterms:created xsi:type="dcterms:W3CDTF">2015-05-30T04:47:25Z</dcterms:created>
  <dcterms:modified xsi:type="dcterms:W3CDTF">2026-03-20T13:03:47Z</dcterms:modified>
</cp:coreProperties>
</file>