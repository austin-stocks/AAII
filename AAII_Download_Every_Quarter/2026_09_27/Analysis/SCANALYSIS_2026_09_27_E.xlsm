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6_09_27\Analysis\"/>
    </mc:Choice>
  </mc:AlternateContent>
  <bookViews>
    <workbookView xWindow="0" yWindow="0" windowWidth="28800" windowHeight="14235" firstSheet="252" activeTab="257"/>
  </bookViews>
  <sheets>
    <sheet name="Sheet1" sheetId="1" r:id="rId1"/>
    <sheet name="Sheet2" sheetId="2" r:id="rId2"/>
    <sheet name="E" sheetId="3" r:id="rId3"/>
    <sheet name="EACO" sheetId="4" r:id="rId4"/>
    <sheet name="EADSY" sheetId="5" r:id="rId5"/>
    <sheet name="EAF" sheetId="6" r:id="rId6"/>
    <sheet name="EAT" sheetId="7" r:id="rId7"/>
    <sheet name="EBAY" sheetId="8" r:id="rId8"/>
    <sheet name="EBC" sheetId="9" r:id="rId9"/>
    <sheet name="EBCOY" sheetId="10" r:id="rId10"/>
    <sheet name="EBF" sheetId="11" r:id="rId11"/>
    <sheet name="EBKDY" sheetId="12" r:id="rId12"/>
    <sheet name="EBMT" sheetId="13" r:id="rId13"/>
    <sheet name="EBON" sheetId="14" r:id="rId14"/>
    <sheet name="EBOSY" sheetId="15" r:id="rId15"/>
    <sheet name="EBS" sheetId="16" r:id="rId16"/>
    <sheet name="EC" sheetId="17" r:id="rId17"/>
    <sheet name="ECBK" sheetId="18" r:id="rId18"/>
    <sheet name="ECG" sheetId="19" r:id="rId19"/>
    <sheet name="ECHO" sheetId="20" r:id="rId20"/>
    <sheet name="ECL" sheetId="21" r:id="rId21"/>
    <sheet name="ECO" sheetId="22" r:id="rId22"/>
    <sheet name="ECOR" sheetId="23" r:id="rId23"/>
    <sheet name="ECPG" sheetId="24" r:id="rId24"/>
    <sheet name="ECREY" sheetId="25" r:id="rId25"/>
    <sheet name="ECVT" sheetId="26" r:id="rId26"/>
    <sheet name="ECX" sheetId="27" r:id="rId27"/>
    <sheet name="ED" sheetId="28" r:id="rId28"/>
    <sheet name="EDBL" sheetId="29" r:id="rId29"/>
    <sheet name="EDHL" sheetId="30" r:id="rId30"/>
    <sheet name="EDIT" sheetId="31" r:id="rId31"/>
    <sheet name="EDN" sheetId="32" r:id="rId32"/>
    <sheet name="EDNMY" sheetId="33" r:id="rId33"/>
    <sheet name="EDPFY" sheetId="34" r:id="rId34"/>
    <sheet name="EDRVY" sheetId="35" r:id="rId35"/>
    <sheet name="EDRY" sheetId="36" r:id="rId36"/>
    <sheet name="EDSA" sheetId="37" r:id="rId37"/>
    <sheet name="EDTK" sheetId="38" r:id="rId38"/>
    <sheet name="EDU" sheetId="39" r:id="rId39"/>
    <sheet name="EDUC" sheetId="40" r:id="rId40"/>
    <sheet name="EDVA" sheetId="41" r:id="rId41"/>
    <sheet name="EE" sheetId="42" r:id="rId42"/>
    <sheet name="EEFT" sheetId="43" r:id="rId43"/>
    <sheet name="EEIQ" sheetId="44" r:id="rId44"/>
    <sheet name="EFC" sheetId="45" r:id="rId45"/>
    <sheet name="EFGSY" sheetId="46" r:id="rId46"/>
    <sheet name="EFOI" sheetId="47" r:id="rId47"/>
    <sheet name="EFOR" sheetId="48" r:id="rId48"/>
    <sheet name="EFSC" sheetId="49" r:id="rId49"/>
    <sheet name="EFSI" sheetId="50" r:id="rId50"/>
    <sheet name="EFX" sheetId="51" r:id="rId51"/>
    <sheet name="EFXT" sheetId="52" r:id="rId52"/>
    <sheet name="EG" sheetId="53" r:id="rId53"/>
    <sheet name="EGAN" sheetId="54" r:id="rId54"/>
    <sheet name="EGBN" sheetId="55" r:id="rId55"/>
    <sheet name="EGG" sheetId="56" r:id="rId56"/>
    <sheet name="EGHT" sheetId="57" r:id="rId57"/>
    <sheet name="EGIEY" sheetId="58" r:id="rId58"/>
    <sheet name="EGO" sheetId="59" r:id="rId59"/>
    <sheet name="EGP" sheetId="60" r:id="rId60"/>
    <sheet name="EGY" sheetId="61" r:id="rId61"/>
    <sheet name="EH" sheetId="62" r:id="rId62"/>
    <sheet name="EHC" sheetId="63" r:id="rId63"/>
    <sheet name="EHGO" sheetId="64" r:id="rId64"/>
    <sheet name="EHLD" sheetId="65" r:id="rId65"/>
    <sheet name="EHTH" sheetId="66" r:id="rId66"/>
    <sheet name="EIG" sheetId="67" r:id="rId67"/>
    <sheet name="EIKN" sheetId="68" r:id="rId68"/>
    <sheet name="EIX" sheetId="69" r:id="rId69"/>
    <sheet name="EJH" sheetId="70" r:id="rId70"/>
    <sheet name="EJPRY" sheetId="71" r:id="rId71"/>
    <sheet name="EKTAY" sheetId="72" r:id="rId72"/>
    <sheet name="EL" sheetId="73" r:id="rId73"/>
    <sheet name="ELA" sheetId="74" r:id="rId74"/>
    <sheet name="ELAB" sheetId="75" r:id="rId75"/>
    <sheet name="ELAN" sheetId="76" r:id="rId76"/>
    <sheet name="ELBM" sheetId="77" r:id="rId77"/>
    <sheet name="ELDN" sheetId="78" r:id="rId78"/>
    <sheet name="ELE" sheetId="79" r:id="rId79"/>
    <sheet name="ELEZY" sheetId="80" r:id="rId80"/>
    <sheet name="ELF" sheetId="81" r:id="rId81"/>
    <sheet name="ELLO" sheetId="82" r:id="rId82"/>
    <sheet name="ELLRY" sheetId="83" r:id="rId83"/>
    <sheet name="ELMA" sheetId="84" r:id="rId84"/>
    <sheet name="ELMD" sheetId="85" r:id="rId85"/>
    <sheet name="ELME" sheetId="86" r:id="rId86"/>
    <sheet name="ELMT" sheetId="87" r:id="rId87"/>
    <sheet name="ELMTY" sheetId="88" r:id="rId88"/>
    <sheet name="ELMUY" sheetId="89" r:id="rId89"/>
    <sheet name="ELOG" sheetId="90" r:id="rId90"/>
    <sheet name="ELOX" sheetId="91" r:id="rId91"/>
    <sheet name="ELPC" sheetId="92" r:id="rId92"/>
    <sheet name="ELPW" sheetId="93" r:id="rId93"/>
    <sheet name="ELS" sheetId="94" r:id="rId94"/>
    <sheet name="ELTK" sheetId="95" r:id="rId95"/>
    <sheet name="ELTX" sheetId="96" r:id="rId96"/>
    <sheet name="ELUT" sheetId="97" r:id="rId97"/>
    <sheet name="ELUXY" sheetId="98" r:id="rId98"/>
    <sheet name="ELV" sheetId="99" r:id="rId99"/>
    <sheet name="ELVA" sheetId="100" r:id="rId100"/>
    <sheet name="ELVN" sheetId="101" r:id="rId101"/>
    <sheet name="ELVR" sheetId="102" r:id="rId102"/>
    <sheet name="ELWT" sheetId="103" r:id="rId103"/>
    <sheet name="EMA" sheetId="104" r:id="rId104"/>
    <sheet name="EMAT" sheetId="105" r:id="rId105"/>
    <sheet name="EMBC" sheetId="106" r:id="rId106"/>
    <sheet name="EMBJ" sheetId="107" r:id="rId107"/>
    <sheet name="EME" sheetId="108" r:id="rId108"/>
    <sheet name="EML" sheetId="109" r:id="rId109"/>
    <sheet name="EMN" sheetId="110" r:id="rId110"/>
    <sheet name="EMPD" sheetId="111" r:id="rId111"/>
    <sheet name="EMR" sheetId="112" r:id="rId112"/>
    <sheet name="EMSCY" sheetId="113" r:id="rId113"/>
    <sheet name="EMYB" sheetId="114" r:id="rId114"/>
    <sheet name="ENB" sheetId="115" r:id="rId115"/>
    <sheet name="ENBP" sheetId="116" r:id="rId116"/>
    <sheet name="ENGGY" sheetId="117" r:id="rId117"/>
    <sheet name="ENGIY" sheetId="118" r:id="rId118"/>
    <sheet name="ENGN" sheetId="119" r:id="rId119"/>
    <sheet name="ENGS" sheetId="120" r:id="rId120"/>
    <sheet name="ENHA" sheetId="121" r:id="rId121"/>
    <sheet name="ENIC" sheetId="122" r:id="rId122"/>
    <sheet name="ENLAY" sheetId="123" r:id="rId123"/>
    <sheet name="ENLT" sheetId="124" r:id="rId124"/>
    <sheet name="ENLV" sheetId="125" r:id="rId125"/>
    <sheet name="ENOV" sheetId="126" r:id="rId126"/>
    <sheet name="ENPH" sheetId="127" r:id="rId127"/>
    <sheet name="ENR" sheetId="128" r:id="rId128"/>
    <sheet name="ENRD" sheetId="129" r:id="rId129"/>
    <sheet name="ENS" sheetId="130" r:id="rId130"/>
    <sheet name="ENSC" sheetId="131" r:id="rId131"/>
    <sheet name="ENSG" sheetId="132" r:id="rId132"/>
    <sheet name="ENTA" sheetId="133" r:id="rId133"/>
    <sheet name="ENTG" sheetId="134" r:id="rId134"/>
    <sheet name="ENTX" sheetId="135" r:id="rId135"/>
    <sheet name="ENVA" sheetId="136" r:id="rId136"/>
    <sheet name="ENVB" sheetId="137" r:id="rId137"/>
    <sheet name="ENVX" sheetId="138" r:id="rId138"/>
    <sheet name="EOCN" sheetId="139" r:id="rId139"/>
    <sheet name="EOG" sheetId="140" r:id="rId140"/>
    <sheet name="EOLS" sheetId="141" r:id="rId141"/>
    <sheet name="EONGY" sheetId="142" r:id="rId142"/>
    <sheet name="EONR" sheetId="143" r:id="rId143"/>
    <sheet name="EOSE" sheetId="144" r:id="rId144"/>
    <sheet name="EP" sheetId="145" r:id="rId145"/>
    <sheet name="EPAC" sheetId="146" r:id="rId146"/>
    <sheet name="EPAM" sheetId="147" r:id="rId147"/>
    <sheet name="EPC" sheetId="148" r:id="rId148"/>
    <sheet name="EPD" sheetId="149" r:id="rId149"/>
    <sheet name="EPM" sheetId="150" r:id="rId150"/>
    <sheet name="EPOBY" sheetId="151" r:id="rId151"/>
    <sheet name="EPOW" sheetId="152" r:id="rId152"/>
    <sheet name="EPR" sheetId="153" r:id="rId153"/>
    <sheet name="EPRT" sheetId="154" r:id="rId154"/>
    <sheet name="EPRX" sheetId="155" r:id="rId155"/>
    <sheet name="EPSM" sheetId="156" r:id="rId156"/>
    <sheet name="EPSN" sheetId="157" r:id="rId157"/>
    <sheet name="EQ" sheetId="158" r:id="rId158"/>
    <sheet name="EQBK" sheetId="159" r:id="rId159"/>
    <sheet name="EQH" sheetId="160" r:id="rId160"/>
    <sheet name="EQIX" sheetId="161" r:id="rId161"/>
    <sheet name="EQNR" sheetId="162" r:id="rId162"/>
    <sheet name="EQPT" sheetId="163" r:id="rId163"/>
    <sheet name="EQT" sheetId="164" r:id="rId164"/>
    <sheet name="EQUEY" sheetId="165" r:id="rId165"/>
    <sheet name="EQX" sheetId="166" r:id="rId166"/>
    <sheet name="ERAS" sheetId="167" r:id="rId167"/>
    <sheet name="ERBKY" sheetId="168" r:id="rId168"/>
    <sheet name="ERCLY" sheetId="169" r:id="rId169"/>
    <sheet name="ERELY" sheetId="170" r:id="rId170"/>
    <sheet name="ERIC" sheetId="171" r:id="rId171"/>
    <sheet name="ERIE" sheetId="172" r:id="rId172"/>
    <sheet name="ERII" sheetId="173" r:id="rId173"/>
    <sheet name="ERKH" sheetId="174" r:id="rId174"/>
    <sheet name="ERMAY" sheetId="175" r:id="rId175"/>
    <sheet name="ERNA" sheetId="176" r:id="rId176"/>
    <sheet name="ERNXY" sheetId="177" r:id="rId177"/>
    <sheet name="ERO" sheetId="178" r:id="rId178"/>
    <sheet name="EROC" sheetId="179" r:id="rId179"/>
    <sheet name="EROK" sheetId="180" r:id="rId180"/>
    <sheet name="ES" sheetId="181" r:id="rId181"/>
    <sheet name="ESAB" sheetId="182" r:id="rId182"/>
    <sheet name="ESAIY" sheetId="183" r:id="rId183"/>
    <sheet name="ESCA" sheetId="184" r:id="rId184"/>
    <sheet name="ESE" sheetId="185" r:id="rId185"/>
    <sheet name="ESEA" sheetId="186" r:id="rId186"/>
    <sheet name="ESGH" sheetId="187" r:id="rId187"/>
    <sheet name="ESI" sheetId="188" r:id="rId188"/>
    <sheet name="ESLA" sheetId="189" r:id="rId189"/>
    <sheet name="ESLOY" sheetId="190" r:id="rId190"/>
    <sheet name="ESLT" sheetId="191" r:id="rId191"/>
    <sheet name="ESNT" sheetId="192" r:id="rId192"/>
    <sheet name="ESOA" sheetId="193" r:id="rId193"/>
    <sheet name="ESP" sheetId="194" r:id="rId194"/>
    <sheet name="ESQ" sheetId="195" r:id="rId195"/>
    <sheet name="ESRT" sheetId="196" r:id="rId196"/>
    <sheet name="ESS" sheetId="197" r:id="rId197"/>
    <sheet name="ESTA" sheetId="198" r:id="rId198"/>
    <sheet name="ESTC" sheetId="199" r:id="rId199"/>
    <sheet name="ESYJY" sheetId="200" r:id="rId200"/>
    <sheet name="ESYN" sheetId="201" r:id="rId201"/>
    <sheet name="ET" sheetId="202" r:id="rId202"/>
    <sheet name="ETCC" sheetId="203" r:id="rId203"/>
    <sheet name="ETD" sheetId="204" r:id="rId204"/>
    <sheet name="ETN" sheetId="205" r:id="rId205"/>
    <sheet name="ETON" sheetId="206" r:id="rId206"/>
    <sheet name="ETOR" sheetId="207" r:id="rId207"/>
    <sheet name="ETR" sheetId="208" r:id="rId208"/>
    <sheet name="ETS" sheetId="209" r:id="rId209"/>
    <sheet name="ETSY" sheetId="210" r:id="rId210"/>
    <sheet name="EU" sheetId="211" r:id="rId211"/>
    <sheet name="EUDA" sheetId="212" r:id="rId212"/>
    <sheet name="EUSHY" sheetId="213" r:id="rId213"/>
    <sheet name="EVAX" sheetId="214" r:id="rId214"/>
    <sheet name="EVC" sheetId="215" r:id="rId215"/>
    <sheet name="EVCM" sheetId="216" r:id="rId216"/>
    <sheet name="EVER" sheetId="217" r:id="rId217"/>
    <sheet name="EVEX" sheetId="218" r:id="rId218"/>
    <sheet name="EVGN" sheetId="219" r:id="rId219"/>
    <sheet name="EVGO" sheetId="220" r:id="rId220"/>
    <sheet name="EVH" sheetId="221" r:id="rId221"/>
    <sheet name="EVI" sheetId="222" r:id="rId222"/>
    <sheet name="EVKIY" sheetId="223" r:id="rId223"/>
    <sheet name="EVLV" sheetId="224" r:id="rId224"/>
    <sheet name="EVMN" sheetId="225" r:id="rId225"/>
    <sheet name="EVMNY" sheetId="226" r:id="rId226"/>
    <sheet name="EVO" sheetId="227" r:id="rId227"/>
    <sheet name="EVR" sheetId="228" r:id="rId228"/>
    <sheet name="EVRG" sheetId="229" r:id="rId229"/>
    <sheet name="EVSBY" sheetId="230" r:id="rId230"/>
    <sheet name="EVTC" sheetId="231" r:id="rId231"/>
    <sheet name="EVTL" sheetId="232" r:id="rId232"/>
    <sheet name="EVVTY" sheetId="233" r:id="rId233"/>
    <sheet name="EW" sheetId="234" r:id="rId234"/>
    <sheet name="EWBC" sheetId="235" r:id="rId235"/>
    <sheet name="EWTX" sheetId="236" r:id="rId236"/>
    <sheet name="EXC" sheetId="237" r:id="rId237"/>
    <sheet name="EXE" sheetId="238" r:id="rId238"/>
    <sheet name="EXEL" sheetId="239" r:id="rId239"/>
    <sheet name="EXFY" sheetId="240" r:id="rId240"/>
    <sheet name="EXK" sheetId="241" r:id="rId241"/>
    <sheet name="EXLS" sheetId="242" r:id="rId242"/>
    <sheet name="EXOD" sheetId="243" r:id="rId243"/>
    <sheet name="EXOZ" sheetId="244" r:id="rId244"/>
    <sheet name="EXP" sheetId="245" r:id="rId245"/>
    <sheet name="EXPD" sheetId="246" r:id="rId246"/>
    <sheet name="EXPE" sheetId="247" r:id="rId247"/>
    <sheet name="EXPGY" sheetId="248" r:id="rId248"/>
    <sheet name="EXPO" sheetId="249" r:id="rId249"/>
    <sheet name="EXR" sheetId="250" r:id="rId250"/>
    <sheet name="EXSR" sheetId="251" r:id="rId251"/>
    <sheet name="EXTR" sheetId="252" r:id="rId252"/>
    <sheet name="EXYN" sheetId="253" r:id="rId253"/>
    <sheet name="EYE" sheetId="254" r:id="rId254"/>
    <sheet name="EYPT" sheetId="255" r:id="rId255"/>
    <sheet name="EZGO" sheetId="256" r:id="rId256"/>
    <sheet name="EZPW" sheetId="257" r:id="rId257"/>
    <sheet name="EZRA" sheetId="258" r:id="rId258"/>
  </sheets>
  <calcPr calcId="162913" calcMode="manual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6" i="1" l="1"/>
  <c r="E36" i="1"/>
  <c r="F36" i="1"/>
  <c r="G36" i="1"/>
  <c r="H36" i="1"/>
  <c r="I36" i="1"/>
  <c r="J36" i="1"/>
  <c r="C36" i="1"/>
  <c r="D35" i="1"/>
  <c r="E35" i="1"/>
  <c r="F35" i="1"/>
  <c r="G35" i="1"/>
  <c r="H35" i="1"/>
  <c r="I35" i="1"/>
  <c r="C35" i="1"/>
  <c r="D33" i="1"/>
  <c r="E33" i="1"/>
  <c r="F33" i="1"/>
  <c r="G33" i="1"/>
  <c r="H33" i="1"/>
  <c r="I33" i="1"/>
  <c r="J33" i="1"/>
  <c r="C33" i="1"/>
  <c r="D28" i="1"/>
  <c r="E28" i="1"/>
  <c r="F28" i="1"/>
  <c r="G28" i="1"/>
  <c r="H28" i="1"/>
  <c r="I28" i="1"/>
  <c r="J28" i="1"/>
  <c r="C28" i="1"/>
  <c r="H17" i="1"/>
  <c r="H20" i="1" s="1"/>
  <c r="I17" i="1"/>
  <c r="I26" i="1" s="1"/>
  <c r="I20" i="1"/>
  <c r="J17" i="1"/>
  <c r="J20" i="1" s="1"/>
  <c r="D17" i="1"/>
  <c r="D20" i="1"/>
  <c r="E17" i="1"/>
  <c r="E20" i="1" s="1"/>
  <c r="F17" i="1"/>
  <c r="F20" i="1"/>
  <c r="G17" i="1"/>
  <c r="G20" i="1" s="1"/>
  <c r="C17" i="1"/>
  <c r="C20" i="1"/>
  <c r="D26" i="1"/>
  <c r="F26" i="1"/>
  <c r="H26" i="1"/>
  <c r="C26" i="1"/>
  <c r="D25" i="1"/>
  <c r="E25" i="1"/>
  <c r="F25" i="1"/>
  <c r="G25" i="1"/>
  <c r="H25" i="1"/>
  <c r="I25" i="1"/>
  <c r="C25" i="1"/>
  <c r="D22" i="1"/>
  <c r="E22" i="1"/>
  <c r="F22" i="1"/>
  <c r="G22" i="1"/>
  <c r="H22" i="1"/>
  <c r="I22" i="1"/>
  <c r="C22" i="1"/>
  <c r="F18" i="1"/>
  <c r="C18" i="1"/>
  <c r="D23" i="1"/>
  <c r="F23" i="1"/>
  <c r="G23" i="1"/>
  <c r="I23" i="1"/>
  <c r="C23" i="1"/>
  <c r="C6" i="1"/>
  <c r="D6" i="1"/>
  <c r="E6" i="1"/>
  <c r="F6" i="1"/>
  <c r="G6" i="1"/>
  <c r="H6" i="1"/>
  <c r="I6" i="1"/>
  <c r="C7" i="1" s="1"/>
  <c r="C10" i="1"/>
  <c r="D10" i="1"/>
  <c r="E10" i="1"/>
  <c r="F10" i="1"/>
  <c r="G10" i="1"/>
  <c r="H10" i="1"/>
  <c r="I10" i="1"/>
  <c r="C11" i="1"/>
  <c r="H97" i="2"/>
  <c r="H98" i="2" s="1"/>
  <c r="G97" i="2"/>
  <c r="F98" i="2" s="1"/>
  <c r="G98" i="2"/>
  <c r="F97" i="2"/>
  <c r="E97" i="2"/>
  <c r="D98" i="2" s="1"/>
  <c r="E98" i="2"/>
  <c r="D97" i="2"/>
  <c r="E18" i="1" l="1"/>
  <c r="E23" i="1"/>
  <c r="H18" i="1"/>
  <c r="D18" i="1"/>
  <c r="J26" i="1"/>
  <c r="J23" i="1"/>
  <c r="I18" i="1"/>
  <c r="G26" i="1"/>
  <c r="H23" i="1"/>
  <c r="G18" i="1"/>
  <c r="E26" i="1"/>
</calcChain>
</file>

<file path=xl/comments1.xml><?xml version="1.0" encoding="utf-8"?>
<comments xmlns="http://schemas.openxmlformats.org/spreadsheetml/2006/main">
  <authors>
    <author>AAM</author>
  </authors>
  <commentList>
    <comment ref="A108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A113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AAM</author>
  </authors>
  <commentList>
    <comment ref="B229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B234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<sst xmlns="http://schemas.openxmlformats.org/spreadsheetml/2006/main" count="358" uniqueCount="252">
  <si>
    <t>Market Capitalization</t>
  </si>
  <si>
    <t>Lynch Analysis:</t>
  </si>
  <si>
    <t>short term debt</t>
  </si>
  <si>
    <t>number of shares outstanding</t>
  </si>
  <si>
    <t>dividend rate</t>
  </si>
  <si>
    <t>dividend yield, trailing</t>
  </si>
  <si>
    <t>assets</t>
  </si>
  <si>
    <t>C</t>
  </si>
  <si>
    <t>Q</t>
  </si>
  <si>
    <t>A</t>
  </si>
  <si>
    <t>=power(A/C,4/Q)-1</t>
  </si>
  <si>
    <t>earnings growth rate, quarter to same quarter last year</t>
  </si>
  <si>
    <t>PE, at current price</t>
  </si>
  <si>
    <t>PE adjusted (stock price - net cash position)</t>
  </si>
  <si>
    <t>growth of earnings versus PE</t>
  </si>
  <si>
    <t>PEG (5 yr expected)</t>
  </si>
  <si>
    <t>(growth+dividend)/pe ratio</t>
  </si>
  <si>
    <t>factor for adjusting PE for net cash</t>
  </si>
  <si>
    <t>trailing PE</t>
  </si>
  <si>
    <t>net cash per share</t>
  </si>
  <si>
    <t>cash and cash equivalents</t>
  </si>
  <si>
    <t>short term investments</t>
  </si>
  <si>
    <t>cash and cash equivalents, previous quarter</t>
  </si>
  <si>
    <t>short term investments, previous quarter</t>
  </si>
  <si>
    <t>cash + short term investments</t>
  </si>
  <si>
    <t>long term debt</t>
  </si>
  <si>
    <t>net cash position</t>
  </si>
  <si>
    <t>equity</t>
  </si>
  <si>
    <t>equity to debt ratio</t>
  </si>
  <si>
    <t>price to sales ratio</t>
  </si>
  <si>
    <t>change in cash flow</t>
  </si>
  <si>
    <t>cash flow per share</t>
  </si>
  <si>
    <t>operating cash flow</t>
  </si>
  <si>
    <t>capital spending</t>
  </si>
  <si>
    <t>free cash flow</t>
  </si>
  <si>
    <t>free cash flow per share</t>
  </si>
  <si>
    <t>return on cash flow</t>
  </si>
  <si>
    <t>% increase in inventory over last year</t>
  </si>
  <si>
    <t>% increase in sales over last year</t>
  </si>
  <si>
    <t>if most recent date isn't the first annual date, use the recent date</t>
  </si>
  <si>
    <t>if the most recent date has blank data, use the 2nd most recent date</t>
  </si>
  <si>
    <t>otherwise use the first annual date</t>
  </si>
  <si>
    <t>Phil Town Analysis (in order of priority)</t>
  </si>
  <si>
    <t>adjusted stock prices for last 10 years</t>
  </si>
  <si>
    <t>Return on Investment Capital (ROIC, ROC, or ROI) &gt; 10% per year</t>
  </si>
  <si>
    <t>operating income or loss</t>
  </si>
  <si>
    <t xml:space="preserve"> Income Tax Expense</t>
  </si>
  <si>
    <t>stockholder equity</t>
  </si>
  <si>
    <t>ROIC (per Sundeep) &gt; 10% per year</t>
  </si>
  <si>
    <t>Equity growth rate &gt; 10% per year</t>
  </si>
  <si>
    <t>annual earnings/share, ttm</t>
  </si>
  <si>
    <t>earnings per share growth rate &gt; 10% per year</t>
  </si>
  <si>
    <t>find the column (&gt;E)  containing "Period Ending"</t>
  </si>
  <si>
    <t>annual revenue, ttq</t>
  </si>
  <si>
    <t>revenue</t>
  </si>
  <si>
    <t>annual revenue, ttm</t>
  </si>
  <si>
    <t>sales or revenue growth rate &gt; 10% per year</t>
  </si>
  <si>
    <t>cash flow growth rate &gt; 10% per year</t>
  </si>
  <si>
    <t>quarterly operating cash flow</t>
  </si>
  <si>
    <t>quarterly capital spending</t>
  </si>
  <si>
    <t>quarterly free cash flow</t>
  </si>
  <si>
    <t>annual operating cash flow, ttm</t>
  </si>
  <si>
    <t>annual capital spending, ttm</t>
  </si>
  <si>
    <t>annual operating free cash flow, ttm</t>
  </si>
  <si>
    <t>free cash flow (Lynch method) growth rate &gt; 10% per year</t>
  </si>
  <si>
    <t>operating free cash flow (key statistics) growth rate &gt; 10% per year</t>
  </si>
  <si>
    <t>levered free cash flow (key statistics) growth rate &gt; 10% per year</t>
  </si>
  <si>
    <t>Rex Moore Analysis</t>
  </si>
  <si>
    <t>rising book value</t>
  </si>
  <si>
    <t>rising profit margins (management efficiency)</t>
  </si>
  <si>
    <t>rising operating margins</t>
  </si>
  <si>
    <t>insider ownership of at least 5%</t>
  </si>
  <si>
    <t>Rex Moore prefers large-cap or mega-cap stocks</t>
  </si>
  <si>
    <t>Joel Greenblatt Analysis</t>
  </si>
  <si>
    <t>EBIT</t>
  </si>
  <si>
    <t xml:space="preserve">Net Working Capital </t>
  </si>
  <si>
    <t>Total Assets</t>
  </si>
  <si>
    <t>total current assets</t>
  </si>
  <si>
    <t>goodwill</t>
  </si>
  <si>
    <t>intangible assets</t>
  </si>
  <si>
    <t xml:space="preserve">Net Fixed Assets </t>
  </si>
  <si>
    <t>Enterprise Value</t>
  </si>
  <si>
    <t>Enterprise Value TODAY</t>
  </si>
  <si>
    <t>EBIT/(Net Working Capital + Net Fixed Assets)</t>
  </si>
  <si>
    <t>EBIT/Enterprise Value</t>
  </si>
  <si>
    <t>magic formula sum</t>
  </si>
  <si>
    <t>O'Shaughnessy Additions:</t>
  </si>
  <si>
    <t>As you can see in Figure 1, a composite made up of five individual factors—price to sales, price to earnings, EBITDA to enterprise value, free cash flow to enterprise value and shareholder yield—outperforms its individual components in 85% of all rolling 10-year periods between 1972 and 2012.</t>
  </si>
  <si>
    <t>price to sales</t>
  </si>
  <si>
    <t>price to earnings</t>
  </si>
  <si>
    <t>free cash flow (Lynch calculation)</t>
  </si>
  <si>
    <t>EBITDA/EV</t>
  </si>
  <si>
    <t>EV to Revenue</t>
  </si>
  <si>
    <t>price to cash flow</t>
  </si>
  <si>
    <t>shareholder yield</t>
  </si>
  <si>
    <t>Dan Caldwell Addition:</t>
  </si>
  <si>
    <t>Avg Vol (3 month)</t>
  </si>
  <si>
    <t>7 signs of a winner.doc, by  Rex Moore</t>
  </si>
  <si>
    <t>the windup:</t>
  </si>
  <si>
    <t>Stock Symbol:</t>
  </si>
  <si>
    <t>Date when most recent Key Statistics collected:</t>
  </si>
  <si>
    <t>Row # in historical for that date:</t>
  </si>
  <si>
    <t>Stock price on date of most recent Key Statistics:</t>
  </si>
  <si>
    <t>Today:</t>
  </si>
  <si>
    <t>Row # in historical for closest to Date in cell D16:</t>
  </si>
  <si>
    <t>Most recent stock price in Excel file:</t>
  </si>
  <si>
    <t>row of most recent stock price in Excel file:</t>
  </si>
  <si>
    <t>date of row of most recent stock price:</t>
  </si>
  <si>
    <t>Market Capitalization on  date Key Statistics collected:</t>
  </si>
  <si>
    <t>Market Capitalization using most recent listed stock price:</t>
  </si>
  <si>
    <t>Double-digit rising sales</t>
  </si>
  <si>
    <t>Rising book value</t>
  </si>
  <si>
    <t>Rising free cash flow</t>
  </si>
  <si>
    <t>Improving margins</t>
  </si>
  <si>
    <t>Rising return on equity</t>
  </si>
  <si>
    <t>Insider ownership (more than 5%)</t>
  </si>
  <si>
    <t>Regular dividends</t>
  </si>
  <si>
    <t xml:space="preserve">relative obscurity </t>
  </si>
  <si>
    <t>the pitch:</t>
  </si>
  <si>
    <t xml:space="preserve">more than $200 million in market cap </t>
  </si>
  <si>
    <t>Total revenue growth of 10% or better over past 12 months</t>
  </si>
  <si>
    <t xml:space="preserve">    Free cash flow growth greater than zero over past 12 months.</t>
  </si>
  <si>
    <t xml:space="preserve">    Book value growth greater than zero over past 12 months.</t>
  </si>
  <si>
    <t xml:space="preserve">    Net margin growth greater than zero over past 12 months.</t>
  </si>
  <si>
    <t xml:space="preserve">    ROE growth greater than zero over past 12 months.</t>
  </si>
  <si>
    <t xml:space="preserve">    Insider ownership at least 5% or better over past 12 months.</t>
  </si>
  <si>
    <t xml:space="preserve">    Dividend yield greater than zero over past 12 months.</t>
  </si>
  <si>
    <t>Ending date-QTR</t>
  </si>
  <si>
    <t>Yearly</t>
  </si>
  <si>
    <t>Ending date-YR</t>
  </si>
  <si>
    <t>Price-to-Earnings-QTR</t>
  </si>
  <si>
    <t>Price-to-Sales-QTR</t>
  </si>
  <si>
    <t>Price-to-Book-QTR</t>
  </si>
  <si>
    <t>Quick Ratio-QTR</t>
  </si>
  <si>
    <t>Current Ratio-QTR</t>
  </si>
  <si>
    <t>Enterprise Value-QTR</t>
  </si>
  <si>
    <t>Shares Outstanding-QTR</t>
  </si>
  <si>
    <t>Price-Free Cash Flow-QTR</t>
  </si>
  <si>
    <t>Market Cap-QTR</t>
  </si>
  <si>
    <t>Forward Price-to-Earnings-QTR</t>
  </si>
  <si>
    <t>PEG Ratio-QTR</t>
  </si>
  <si>
    <t>Enterprise Value-to-Revenue-QTR</t>
  </si>
  <si>
    <t>Enterprise Value-to-EBITDA-QTR</t>
  </si>
  <si>
    <t>Profitability</t>
  </si>
  <si>
    <t>Profit Margin-QTR</t>
  </si>
  <si>
    <t>Operating Margin-QTR</t>
  </si>
  <si>
    <t>Management Effectiveness</t>
  </si>
  <si>
    <t>Return on Assets-QTR</t>
  </si>
  <si>
    <t>Return on Equity-QTR</t>
  </si>
  <si>
    <t>Income Statement</t>
  </si>
  <si>
    <t>Revenue-QTR</t>
  </si>
  <si>
    <t>Revenue per Share-QTR</t>
  </si>
  <si>
    <t>Quarterly Data</t>
  </si>
  <si>
    <t>Restated-QTR</t>
  </si>
  <si>
    <t>Most Recent Price</t>
  </si>
  <si>
    <t>Q0_Date</t>
  </si>
  <si>
    <t>Compare Short/Current Long Term Debt with Cash Position (ok, risky, NA)</t>
  </si>
  <si>
    <t>Long Term Debt Change - Quarter to Quarter (Number, NA)</t>
  </si>
  <si>
    <t>Cash and Short Term Investments Change - Quarter to Quarter (Number, NA)</t>
  </si>
  <si>
    <t>Cash and Short Term Investments</t>
  </si>
  <si>
    <t>Cash Position Change</t>
  </si>
  <si>
    <t>Cash</t>
  </si>
  <si>
    <t>Short Term Investments</t>
  </si>
  <si>
    <t>Diluted Earnings from Continuing Ops - qtr</t>
  </si>
  <si>
    <t>Diluted Earnings from Continuing Ops - yr</t>
  </si>
  <si>
    <t>Earnings Growth Rate - qtr</t>
  </si>
  <si>
    <t>Earnings Growth Rate - yr</t>
  </si>
  <si>
    <t>Company Name</t>
  </si>
  <si>
    <t>Ticker</t>
  </si>
  <si>
    <t>Price</t>
  </si>
  <si>
    <t>P/E - qtr</t>
  </si>
  <si>
    <t>Sector</t>
  </si>
  <si>
    <t>Sector PE</t>
  </si>
  <si>
    <t>Historical Earnings Growth Rate / Current PE - qtr</t>
  </si>
  <si>
    <t>Long Term Debt - qtr</t>
  </si>
  <si>
    <t>Enough Cash to Cover Short Tem Debt - qtr</t>
  </si>
  <si>
    <t>Short Term Debt - qtr</t>
  </si>
  <si>
    <t>Long Term Debt Change - qtr</t>
  </si>
  <si>
    <t>Quick Ration</t>
  </si>
  <si>
    <t>Current Ratio</t>
  </si>
  <si>
    <t>Cash Per Share - qtr</t>
  </si>
  <si>
    <t>Cash Net of Long Tem Debt - qtr</t>
  </si>
  <si>
    <t>Number of Shares Outstanding - qtr</t>
  </si>
  <si>
    <t>Divident Yield - qtr</t>
  </si>
  <si>
    <t>(Historical Earnings Growth Rate + Divident Yield) / Current PE - qtr</t>
  </si>
  <si>
    <t>Price to Book</t>
  </si>
  <si>
    <t>cash_qtr</t>
  </si>
  <si>
    <t>epsdc_qtr</t>
  </si>
  <si>
    <t>dps_qtr</t>
  </si>
  <si>
    <t>perend_qtr</t>
  </si>
  <si>
    <t>stinv_qtr</t>
  </si>
  <si>
    <t>stdebt_qtr</t>
  </si>
  <si>
    <t>ltdebt_qtr</t>
  </si>
  <si>
    <t>shr_d_qtr</t>
  </si>
  <si>
    <t>Shares Outstanding (Diluted) - qtr</t>
  </si>
  <si>
    <t>Dividend (non-special) Paid Per Share - qtr</t>
  </si>
  <si>
    <t>pe_curr</t>
  </si>
  <si>
    <t>Mkt Cap</t>
  </si>
  <si>
    <t>Current PE</t>
  </si>
  <si>
    <t>PB Ratio</t>
  </si>
  <si>
    <t>epsdc_yr</t>
  </si>
  <si>
    <t>Earning Growth Rate - Averaged - yr</t>
  </si>
  <si>
    <t>Earning Growth Rate - Averaged - qtr</t>
  </si>
  <si>
    <t>epsdc_yr_avg</t>
  </si>
  <si>
    <t>epsdc_qtr_avg</t>
  </si>
  <si>
    <t>Year Period</t>
  </si>
  <si>
    <t>TTM</t>
  </si>
  <si>
    <t>perend_yr</t>
  </si>
  <si>
    <t>Change in number of (Diluted) Shares Outstanding</t>
  </si>
  <si>
    <t>Cash Per Share - Net of Long Tem Debt - qtr</t>
  </si>
  <si>
    <t>Cash Position Change - qtr</t>
  </si>
  <si>
    <t>ticker_symbol</t>
  </si>
  <si>
    <t>company_name</t>
  </si>
  <si>
    <t>price_curr</t>
  </si>
  <si>
    <t>mktcap_curr</t>
  </si>
  <si>
    <t>curr_ratio_curr</t>
  </si>
  <si>
    <t>quick_ratio_curr</t>
  </si>
  <si>
    <t>pbvps_curr</t>
  </si>
  <si>
    <t>sector_name</t>
  </si>
  <si>
    <t>Company 
Statistics</t>
  </si>
  <si>
    <t>Sector 
Statistics</t>
  </si>
  <si>
    <t>Quick Ratio</t>
  </si>
  <si>
    <t>sec_pbvps_curr</t>
  </si>
  <si>
    <t>sec_quick_ratio_curr</t>
  </si>
  <si>
    <t>sec_curr_ratio_curr</t>
  </si>
  <si>
    <t>sec_pe_curr</t>
  </si>
  <si>
    <t>Common Equity - qtr</t>
  </si>
  <si>
    <t>equity_qtr</t>
  </si>
  <si>
    <t>Common Equity-to-Long Term Debt Ratio</t>
  </si>
  <si>
    <t>Book Value Per Share - qtr</t>
  </si>
  <si>
    <t>bvps_qtr</t>
  </si>
  <si>
    <t>Price to Free Cash Flow</t>
  </si>
  <si>
    <t>pfcps_curr</t>
  </si>
  <si>
    <t>Fee Cash Flow Per Share - qtr</t>
  </si>
  <si>
    <t>fcfps_qtr</t>
  </si>
  <si>
    <t>Revenue  - qtr</t>
  </si>
  <si>
    <t>Pre-Tax Income - qtr</t>
  </si>
  <si>
    <t>Pre-Tax Margin - qtr</t>
  </si>
  <si>
    <t>pti_qtr</t>
  </si>
  <si>
    <t>sales_qtr</t>
  </si>
  <si>
    <t>Inventories - qtr</t>
  </si>
  <si>
    <t>Change in Inventories - qtr</t>
  </si>
  <si>
    <t>Inventories/Sales - qtr</t>
  </si>
  <si>
    <t>inv_qtr</t>
  </si>
  <si>
    <t>Insider Ownership</t>
  </si>
  <si>
    <t>shrinsd_curr</t>
  </si>
  <si>
    <t>Net Insider Purchase</t>
  </si>
  <si>
    <t>insdns_curr</t>
  </si>
  <si>
    <t>Country</t>
  </si>
  <si>
    <t>Number of Employees</t>
  </si>
  <si>
    <t>country_curr</t>
  </si>
  <si>
    <t>employees_curr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</si>
</sst>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sz val="12"/>
      <color rgb="FFFF0000"/>
      <name val="Verdana"/>
      <family val="2"/>
    </font>
    <font>
      <b/>
      <sz val="9"/>
      <color indexed="81"/>
      <name val="Verdana"/>
      <family val="2"/>
    </font>
    <font>
      <sz val="9"/>
      <color indexed="81"/>
      <name val="Verdana"/>
      <family val="2"/>
    </font>
    <font>
      <sz val="12"/>
      <color theme="1"/>
      <name val="Times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mediumGray">
        <fgColor theme="0"/>
        <bgColor theme="5" tint="0.79998168889431442"/>
      </patternFill>
    </fill>
    <fill>
      <patternFill patternType="lightGray">
        <fgColor theme="0"/>
        <bgColor theme="8" tint="0.79998168889431442"/>
      </patternFill>
    </fill>
    <fill>
      <patternFill patternType="gray125">
        <fgColor theme="0"/>
        <bgColor theme="9" tint="0.79998168889431442"/>
      </patternFill>
    </fill>
    <fill>
      <patternFill patternType="lightGray">
        <fgColor theme="0"/>
        <bgColor theme="7" tint="0.79998168889431442"/>
      </patternFill>
    </fill>
    <fill>
      <patternFill patternType="mediumGray">
        <fgColor theme="0"/>
        <bgColor theme="9" tint="0.5999938962981048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55">
    <xf numFmtId="0" fontId="0" fillId="0" borderId="0" xfId="0"/>
    <xf numFmtId="0" fontId="0" fillId="0" borderId="0" xfId="0" applyAlignment="1">
      <alignment horizontal="right"/>
    </xf>
    <xf numFmtId="0" fontId="0" fillId="2" borderId="1" xfId="0" applyFill="1" applyBorder="1" applyAlignment="1">
      <alignment horizontal="right"/>
    </xf>
    <xf numFmtId="0" fontId="2" fillId="2" borderId="1" xfId="0" applyFont="1" applyFill="1" applyBorder="1" applyAlignment="1">
      <alignment horizontal="right"/>
    </xf>
    <xf numFmtId="0" fontId="0" fillId="2" borderId="1" xfId="0" applyFont="1" applyFill="1" applyBorder="1" applyAlignment="1">
      <alignment horizontal="right"/>
    </xf>
    <xf numFmtId="0" fontId="3" fillId="2" borderId="1" xfId="0" applyFont="1" applyFill="1" applyBorder="1" applyAlignment="1">
      <alignment horizontal="right"/>
    </xf>
    <xf numFmtId="0" fontId="3" fillId="0" borderId="0" xfId="0" applyFont="1" applyAlignment="1">
      <alignment horizontal="right"/>
    </xf>
    <xf numFmtId="0" fontId="2" fillId="3" borderId="1" xfId="0" applyFont="1" applyFill="1" applyBorder="1" applyAlignment="1">
      <alignment horizontal="right"/>
    </xf>
    <xf numFmtId="0" fontId="0" fillId="3" borderId="1" xfId="0" applyFill="1" applyBorder="1" applyAlignment="1">
      <alignment horizontal="right"/>
    </xf>
    <xf numFmtId="0" fontId="2" fillId="4" borderId="1" xfId="0" applyFont="1" applyFill="1" applyBorder="1" applyAlignment="1">
      <alignment horizontal="right"/>
    </xf>
    <xf numFmtId="0" fontId="0" fillId="4" borderId="1" xfId="0" applyFill="1" applyBorder="1" applyAlignment="1">
      <alignment horizontal="right"/>
    </xf>
    <xf numFmtId="0" fontId="2" fillId="5" borderId="1" xfId="0" applyFont="1" applyFill="1" applyBorder="1" applyAlignment="1">
      <alignment horizontal="right"/>
    </xf>
    <xf numFmtId="0" fontId="0" fillId="5" borderId="1" xfId="0" applyFill="1" applyBorder="1" applyAlignment="1">
      <alignment horizontal="right"/>
    </xf>
    <xf numFmtId="0" fontId="2" fillId="6" borderId="1" xfId="0" applyFont="1" applyFill="1" applyBorder="1" applyAlignment="1">
      <alignment horizontal="right"/>
    </xf>
    <xf numFmtId="0" fontId="0" fillId="6" borderId="1" xfId="0" applyFill="1" applyBorder="1" applyAlignment="1">
      <alignment horizontal="right"/>
    </xf>
    <xf numFmtId="0" fontId="0" fillId="6" borderId="1" xfId="0" quotePrefix="1" applyFill="1" applyBorder="1" applyAlignment="1">
      <alignment horizontal="right"/>
    </xf>
    <xf numFmtId="0" fontId="1" fillId="0" borderId="0" xfId="0" applyFont="1" applyAlignment="1">
      <alignment horizontal="right"/>
    </xf>
    <xf numFmtId="0" fontId="1" fillId="7" borderId="0" xfId="0" applyFont="1" applyFill="1" applyAlignment="1">
      <alignment horizontal="right"/>
    </xf>
    <xf numFmtId="0" fontId="0" fillId="0" borderId="0" xfId="0" applyAlignment="1">
      <alignment horizontal="center"/>
    </xf>
    <xf numFmtId="0" fontId="6" fillId="0" borderId="0" xfId="0" applyFont="1" applyAlignment="1">
      <alignment horizontal="right"/>
    </xf>
    <xf numFmtId="0" fontId="6" fillId="0" borderId="0" xfId="0" applyFont="1" applyAlignment="1">
      <alignment horizontal="right" vertical="center"/>
    </xf>
    <xf numFmtId="0" fontId="0" fillId="0" borderId="0" xfId="0" applyAlignment="1">
      <alignment horizontal="left"/>
    </xf>
    <xf numFmtId="0" fontId="1" fillId="6" borderId="1" xfId="0" applyFont="1" applyFill="1" applyBorder="1" applyAlignment="1">
      <alignment horizontal="right"/>
    </xf>
    <xf numFmtId="0" fontId="0" fillId="6" borderId="1" xfId="0" applyFont="1" applyFill="1" applyBorder="1" applyAlignment="1">
      <alignment horizontal="right"/>
    </xf>
    <xf numFmtId="0" fontId="8" fillId="0" borderId="0" xfId="0" applyFont="1" applyAlignment="1">
      <alignment horizontal="right"/>
    </xf>
    <xf numFmtId="0" fontId="8" fillId="0" borderId="0" xfId="0" applyFont="1" applyAlignment="1">
      <alignment horizontal="center"/>
    </xf>
    <xf numFmtId="0" fontId="8" fillId="0" borderId="0" xfId="0" applyFont="1" applyAlignment="1">
      <alignment horizontal="center" wrapText="1"/>
    </xf>
    <xf numFmtId="0" fontId="8" fillId="0" borderId="0" xfId="0" applyFont="1" applyAlignment="1">
      <alignment horizontal="left"/>
    </xf>
    <xf numFmtId="0" fontId="9" fillId="6" borderId="1" xfId="0" applyFont="1" applyFill="1" applyBorder="1" applyAlignment="1">
      <alignment horizontal="right"/>
    </xf>
    <xf numFmtId="0" fontId="9" fillId="0" borderId="0" xfId="0" applyFont="1" applyAlignment="1">
      <alignment horizontal="right"/>
    </xf>
    <xf numFmtId="0" fontId="8" fillId="6" borderId="1" xfId="0" applyFont="1" applyFill="1" applyBorder="1" applyAlignment="1">
      <alignment horizontal="right"/>
    </xf>
    <xf numFmtId="9" fontId="8" fillId="0" borderId="0" xfId="1" applyFont="1" applyAlignment="1">
      <alignment horizontal="right"/>
    </xf>
    <xf numFmtId="3" fontId="8" fillId="0" borderId="0" xfId="0" applyNumberFormat="1" applyFont="1" applyAlignment="1">
      <alignment horizontal="right"/>
    </xf>
    <xf numFmtId="0" fontId="8" fillId="2" borderId="1" xfId="0" applyFont="1" applyFill="1" applyBorder="1" applyAlignment="1">
      <alignment horizontal="right"/>
    </xf>
    <xf numFmtId="0" fontId="9" fillId="2" borderId="1" xfId="0" applyFont="1" applyFill="1" applyBorder="1" applyAlignment="1">
      <alignment horizontal="right"/>
    </xf>
    <xf numFmtId="0" fontId="10" fillId="2" borderId="1" xfId="0" applyFont="1" applyFill="1" applyBorder="1" applyAlignment="1">
      <alignment horizontal="right"/>
    </xf>
    <xf numFmtId="0" fontId="10" fillId="0" borderId="0" xfId="0" applyFont="1" applyAlignment="1">
      <alignment horizontal="right"/>
    </xf>
    <xf numFmtId="0" fontId="9" fillId="3" borderId="1" xfId="0" applyFont="1" applyFill="1" applyBorder="1" applyAlignment="1">
      <alignment horizontal="right"/>
    </xf>
    <xf numFmtId="0" fontId="8" fillId="3" borderId="1" xfId="0" applyFont="1" applyFill="1" applyBorder="1" applyAlignment="1">
      <alignment horizontal="right"/>
    </xf>
    <xf numFmtId="0" fontId="9" fillId="4" borderId="1" xfId="0" applyFont="1" applyFill="1" applyBorder="1" applyAlignment="1">
      <alignment horizontal="right"/>
    </xf>
    <xf numFmtId="0" fontId="8" fillId="4" borderId="1" xfId="0" applyFont="1" applyFill="1" applyBorder="1" applyAlignment="1">
      <alignment horizontal="right"/>
    </xf>
    <xf numFmtId="0" fontId="9" fillId="5" borderId="1" xfId="0" applyFont="1" applyFill="1" applyBorder="1" applyAlignment="1">
      <alignment horizontal="right"/>
    </xf>
    <xf numFmtId="0" fontId="8" fillId="5" borderId="1" xfId="0" applyFont="1" applyFill="1" applyBorder="1" applyAlignment="1">
      <alignment horizontal="right"/>
    </xf>
    <xf numFmtId="0" fontId="8" fillId="0" borderId="0" xfId="0" applyFont="1" applyAlignment="1">
      <alignment horizontal="right" vertical="center"/>
    </xf>
    <xf numFmtId="4" fontId="8" fillId="0" borderId="0" xfId="0" applyNumberFormat="1" applyFont="1" applyAlignment="1">
      <alignment horizontal="right"/>
    </xf>
    <xf numFmtId="0" fontId="11" fillId="0" borderId="0" xfId="0" applyFont="1" applyAlignment="1">
      <alignment horizontal="right"/>
    </xf>
    <xf numFmtId="2" fontId="8" fillId="0" borderId="0" xfId="0" applyNumberFormat="1" applyFont="1" applyAlignment="1">
      <alignment horizontal="center"/>
    </xf>
    <xf numFmtId="3" fontId="8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0" fontId="12" fillId="0" borderId="0" xfId="0" applyFont="1" applyAlignment="1">
      <alignment horizontal="left"/>
    </xf>
    <xf numFmtId="0" fontId="12" fillId="8" borderId="0" xfId="0" applyFont="1" applyFill="1" applyAlignment="1">
      <alignment horizontal="center" wrapText="1"/>
    </xf>
    <xf numFmtId="0" fontId="12" fillId="9" borderId="0" xfId="0" applyFont="1" applyFill="1" applyAlignment="1">
      <alignment horizontal="center" wrapText="1"/>
    </xf>
    <xf numFmtId="0" fontId="8" fillId="0" borderId="0" xfId="0" applyFont="1" applyAlignment="1">
      <alignment horizontal="left"/>
    </xf>
    <xf numFmtId="3" fontId="8" fillId="0" borderId="0" xfId="1" applyNumberFormat="1" applyFont="1" applyAlignment="1">
      <alignment horizontal="right"/>
    </xf>
    <xf numFmtId="0" fontId="0" fillId="0" borderId="0" xfId="0" applyAlignment="1">
      <alignment horizontal="left"/>
    </xf>
  </cellXfs>
  <cellStyles count="2">
    <cellStyle name="Normal" xfId="0" builtinId="0"/>
    <cellStyle name="Percent" xfId="1" builtinId="5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26" Type="http://schemas.openxmlformats.org/officeDocument/2006/relationships/worksheet" Target="worksheets/sheet226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worksheet" Target="worksheets/sheet181.xml"/><Relationship Id="rId216" Type="http://schemas.openxmlformats.org/officeDocument/2006/relationships/worksheet" Target="worksheets/sheet216.xml"/><Relationship Id="rId237" Type="http://schemas.openxmlformats.org/officeDocument/2006/relationships/worksheet" Target="worksheets/sheet237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27" Type="http://schemas.openxmlformats.org/officeDocument/2006/relationships/worksheet" Target="worksheets/sheet227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217" Type="http://schemas.openxmlformats.org/officeDocument/2006/relationships/worksheet" Target="worksheets/sheet217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59" Type="http://schemas.openxmlformats.org/officeDocument/2006/relationships/theme" Target="theme/theme1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openxmlformats.org/officeDocument/2006/relationships/worksheet" Target="worksheets/sheet228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styles" Target="styles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261" Type="http://schemas.openxmlformats.org/officeDocument/2006/relationships/sharedStrings" Target="sharedStrings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1" Type="http://schemas.openxmlformats.org/officeDocument/2006/relationships/worksheet" Target="worksheets/sheet251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262" Type="http://schemas.openxmlformats.org/officeDocument/2006/relationships/calcChain" Target="calcChain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W158"/>
  <sheetViews>
    <sheetView topLeftCell="A19" zoomScale="98" zoomScaleNormal="98" workbookViewId="0">
      <selection activeCell="A42" sqref="A42:XFD49"/>
    </sheetView>
  </sheetViews>
  <sheetFormatPr defaultRowHeight="12.75" x14ac:dyDescent="0.2"/>
  <cols>
    <col min="1" max="1" width="53.85546875" style="24" customWidth="1"/>
    <col min="2" max="2" width="10.7109375" style="25" customWidth="1"/>
    <col min="3" max="10" width="12.42578125" style="24" customWidth="1"/>
    <col min="11" max="11" width="19.28515625" style="24" customWidth="1"/>
    <col min="12" max="12" width="11.42578125" style="24" customWidth="1"/>
    <col min="13" max="13" width="11.85546875" style="24" customWidth="1"/>
    <col min="14" max="14" width="9.85546875" style="24" customWidth="1"/>
    <col min="15" max="22" width="9.140625" style="27"/>
    <col min="23" max="16384" width="9.140625" style="25"/>
  </cols>
  <sheetData>
    <row r="1" spans="1:23" ht="28.5" customHeight="1" x14ac:dyDescent="0.25">
      <c r="A1" s="24" t="s">
        <v>167</v>
      </c>
      <c r="C1" s="25" t="s">
        <v>168</v>
      </c>
      <c r="D1" s="25" t="s">
        <v>169</v>
      </c>
      <c r="E1" s="25" t="s">
        <v>197</v>
      </c>
      <c r="F1" s="25" t="s">
        <v>171</v>
      </c>
      <c r="G1" s="25"/>
      <c r="H1" s="25"/>
      <c r="I1" s="26"/>
      <c r="J1" s="26"/>
      <c r="K1" s="26"/>
      <c r="L1" s="50" t="s">
        <v>219</v>
      </c>
      <c r="M1" s="51" t="s">
        <v>220</v>
      </c>
      <c r="O1" s="24"/>
      <c r="W1" s="27"/>
    </row>
    <row r="2" spans="1:23" ht="17.25" customHeight="1" x14ac:dyDescent="0.35">
      <c r="A2" s="45" t="s">
        <v>212</v>
      </c>
      <c r="C2" s="48" t="s">
        <v>211</v>
      </c>
      <c r="D2" s="46" t="s">
        <v>213</v>
      </c>
      <c r="E2" s="47" t="s">
        <v>214</v>
      </c>
      <c r="F2" s="49" t="s">
        <v>218</v>
      </c>
      <c r="G2" s="25"/>
      <c r="L2" s="25"/>
      <c r="M2" s="25"/>
    </row>
    <row r="3" spans="1:23" x14ac:dyDescent="0.2">
      <c r="K3" s="29" t="s">
        <v>248</v>
      </c>
      <c r="L3" s="25" t="s">
        <v>250</v>
      </c>
      <c r="N3" s="25"/>
    </row>
    <row r="4" spans="1:23" x14ac:dyDescent="0.2">
      <c r="A4" s="28" t="s">
        <v>1</v>
      </c>
      <c r="B4" s="25" t="s">
        <v>189</v>
      </c>
      <c r="C4" s="29"/>
      <c r="D4" s="29"/>
      <c r="E4" s="29"/>
      <c r="F4" s="29"/>
      <c r="G4" s="29"/>
      <c r="H4" s="29"/>
      <c r="I4" s="29"/>
      <c r="J4" s="29"/>
      <c r="K4" s="29" t="s">
        <v>249</v>
      </c>
      <c r="L4" s="25" t="s">
        <v>251</v>
      </c>
    </row>
    <row r="5" spans="1:23" x14ac:dyDescent="0.2">
      <c r="A5" s="30" t="s">
        <v>163</v>
      </c>
      <c r="B5" s="25" t="s">
        <v>187</v>
      </c>
      <c r="K5" s="29" t="s">
        <v>198</v>
      </c>
      <c r="L5" s="25" t="s">
        <v>196</v>
      </c>
      <c r="M5" s="25" t="s">
        <v>225</v>
      </c>
    </row>
    <row r="6" spans="1:23" x14ac:dyDescent="0.2">
      <c r="A6" s="30" t="s">
        <v>165</v>
      </c>
      <c r="C6" s="31" t="e">
        <f>(C5-D5)/ABS(D5)</f>
        <v>#DIV/0!</v>
      </c>
      <c r="D6" s="31" t="e">
        <f t="shared" ref="D6:I6" si="0">(D5-E5)/ABS(E5)</f>
        <v>#DIV/0!</v>
      </c>
      <c r="E6" s="31" t="e">
        <f t="shared" si="0"/>
        <v>#DIV/0!</v>
      </c>
      <c r="F6" s="31" t="e">
        <f t="shared" si="0"/>
        <v>#DIV/0!</v>
      </c>
      <c r="G6" s="31" t="e">
        <f t="shared" si="0"/>
        <v>#DIV/0!</v>
      </c>
      <c r="H6" s="31" t="e">
        <f t="shared" si="0"/>
        <v>#DIV/0!</v>
      </c>
      <c r="I6" s="31" t="e">
        <f t="shared" si="0"/>
        <v>#DIV/0!</v>
      </c>
      <c r="K6" s="29" t="s">
        <v>221</v>
      </c>
      <c r="L6" s="25" t="s">
        <v>216</v>
      </c>
      <c r="M6" s="25" t="s">
        <v>223</v>
      </c>
    </row>
    <row r="7" spans="1:23" x14ac:dyDescent="0.2">
      <c r="A7" s="30" t="s">
        <v>202</v>
      </c>
      <c r="B7" s="25" t="s">
        <v>204</v>
      </c>
      <c r="C7" s="31" t="e">
        <f>(0.25*C6+0.2*D6+0.15*E6+0.12*F6+0.1*G6+0.1*H6+0.08*I6)/7</f>
        <v>#DIV/0!</v>
      </c>
      <c r="D7" s="31"/>
      <c r="E7" s="31"/>
      <c r="F7" s="31"/>
      <c r="G7" s="31"/>
      <c r="H7" s="31"/>
      <c r="I7" s="31"/>
      <c r="K7" s="29" t="s">
        <v>179</v>
      </c>
      <c r="L7" s="25" t="s">
        <v>215</v>
      </c>
      <c r="M7" s="25" t="s">
        <v>224</v>
      </c>
    </row>
    <row r="8" spans="1:23" x14ac:dyDescent="0.2">
      <c r="A8" s="30" t="s">
        <v>205</v>
      </c>
      <c r="B8" s="25" t="s">
        <v>207</v>
      </c>
      <c r="C8" s="31" t="s">
        <v>206</v>
      </c>
      <c r="D8" s="31"/>
      <c r="E8" s="31"/>
      <c r="F8" s="31"/>
      <c r="G8" s="31"/>
      <c r="H8" s="31"/>
      <c r="I8" s="31"/>
      <c r="K8" s="29" t="s">
        <v>199</v>
      </c>
      <c r="L8" s="25" t="s">
        <v>217</v>
      </c>
      <c r="M8" s="25" t="s">
        <v>222</v>
      </c>
    </row>
    <row r="9" spans="1:23" x14ac:dyDescent="0.2">
      <c r="A9" s="30" t="s">
        <v>164</v>
      </c>
      <c r="B9" s="25" t="s">
        <v>200</v>
      </c>
      <c r="K9" s="29" t="s">
        <v>231</v>
      </c>
      <c r="L9" s="24" t="s">
        <v>232</v>
      </c>
    </row>
    <row r="10" spans="1:23" x14ac:dyDescent="0.2">
      <c r="A10" s="30" t="s">
        <v>166</v>
      </c>
      <c r="C10" s="31" t="e">
        <f>(C9-D9)/ABS(D9)</f>
        <v>#DIV/0!</v>
      </c>
      <c r="D10" s="31" t="e">
        <f t="shared" ref="D10" si="1">(D9-E9)/ABS(E9)</f>
        <v>#DIV/0!</v>
      </c>
      <c r="E10" s="31" t="e">
        <f t="shared" ref="E10" si="2">(E9-F9)/ABS(F9)</f>
        <v>#DIV/0!</v>
      </c>
      <c r="F10" s="31" t="e">
        <f t="shared" ref="F10" si="3">(F9-G9)/ABS(G9)</f>
        <v>#DIV/0!</v>
      </c>
      <c r="G10" s="31" t="e">
        <f t="shared" ref="G10" si="4">(G9-H9)/ABS(H9)</f>
        <v>#DIV/0!</v>
      </c>
      <c r="H10" s="31" t="e">
        <f t="shared" ref="H10" si="5">(H9-I9)/ABS(I9)</f>
        <v>#DIV/0!</v>
      </c>
      <c r="I10" s="31" t="e">
        <f t="shared" ref="I10" si="6">(I9-J9)/ABS(J9)</f>
        <v>#DIV/0!</v>
      </c>
      <c r="K10" s="29" t="s">
        <v>246</v>
      </c>
      <c r="L10" s="25" t="s">
        <v>247</v>
      </c>
    </row>
    <row r="11" spans="1:23" x14ac:dyDescent="0.2">
      <c r="A11" s="30" t="s">
        <v>201</v>
      </c>
      <c r="B11" s="25" t="s">
        <v>203</v>
      </c>
      <c r="C11" s="31" t="e">
        <f>(0.25*C10+0.2*D10+0.15*E10+0.12*F10+0.1*G10+0.1*H10+0.08*I10)/7</f>
        <v>#DIV/0!</v>
      </c>
      <c r="D11" s="31"/>
      <c r="E11" s="31"/>
      <c r="F11" s="31"/>
      <c r="G11" s="31"/>
      <c r="H11" s="31"/>
      <c r="I11" s="31"/>
      <c r="K11" s="29" t="s">
        <v>244</v>
      </c>
      <c r="L11" s="25" t="s">
        <v>245</v>
      </c>
      <c r="M11" s="25"/>
    </row>
    <row r="12" spans="1:23" x14ac:dyDescent="0.2">
      <c r="A12" s="30" t="s">
        <v>195</v>
      </c>
      <c r="B12" s="25" t="s">
        <v>188</v>
      </c>
    </row>
    <row r="13" spans="1:23" x14ac:dyDescent="0.2">
      <c r="A13" s="28" t="s">
        <v>173</v>
      </c>
    </row>
    <row r="14" spans="1:23" x14ac:dyDescent="0.2">
      <c r="A14" s="28" t="s">
        <v>184</v>
      </c>
    </row>
    <row r="15" spans="1:23" x14ac:dyDescent="0.2">
      <c r="A15" s="30" t="s">
        <v>161</v>
      </c>
      <c r="B15" s="25" t="s">
        <v>186</v>
      </c>
      <c r="C15" s="32"/>
      <c r="D15" s="32"/>
      <c r="E15" s="32"/>
      <c r="F15" s="32"/>
      <c r="G15" s="32"/>
      <c r="H15" s="32"/>
      <c r="I15" s="32"/>
      <c r="J15" s="32"/>
    </row>
    <row r="16" spans="1:23" x14ac:dyDescent="0.2">
      <c r="A16" s="30" t="s">
        <v>162</v>
      </c>
      <c r="B16" s="25" t="s">
        <v>190</v>
      </c>
      <c r="C16" s="32"/>
      <c r="D16" s="32"/>
      <c r="E16" s="32"/>
      <c r="F16" s="32"/>
      <c r="G16" s="32"/>
      <c r="H16" s="32"/>
      <c r="I16" s="32"/>
      <c r="J16" s="32"/>
    </row>
    <row r="17" spans="1:22" x14ac:dyDescent="0.2">
      <c r="A17" s="30" t="s">
        <v>159</v>
      </c>
      <c r="C17" s="32">
        <f>SUM(C15,C16)</f>
        <v>0</v>
      </c>
      <c r="D17" s="32">
        <f t="shared" ref="D17:J17" si="7">SUM(D15,D16)</f>
        <v>0</v>
      </c>
      <c r="E17" s="32">
        <f t="shared" si="7"/>
        <v>0</v>
      </c>
      <c r="F17" s="32">
        <f t="shared" si="7"/>
        <v>0</v>
      </c>
      <c r="G17" s="32">
        <f t="shared" si="7"/>
        <v>0</v>
      </c>
      <c r="H17" s="32">
        <f t="shared" si="7"/>
        <v>0</v>
      </c>
      <c r="I17" s="32">
        <f t="shared" si="7"/>
        <v>0</v>
      </c>
      <c r="J17" s="32">
        <f t="shared" si="7"/>
        <v>0</v>
      </c>
    </row>
    <row r="18" spans="1:22" x14ac:dyDescent="0.2">
      <c r="A18" s="28" t="s">
        <v>210</v>
      </c>
      <c r="C18" s="32">
        <f>C17-D17</f>
        <v>0</v>
      </c>
      <c r="D18" s="32">
        <f t="shared" ref="D18:I18" si="8">D17-E17</f>
        <v>0</v>
      </c>
      <c r="E18" s="32">
        <f t="shared" si="8"/>
        <v>0</v>
      </c>
      <c r="F18" s="32">
        <f t="shared" si="8"/>
        <v>0</v>
      </c>
      <c r="G18" s="32">
        <f t="shared" si="8"/>
        <v>0</v>
      </c>
      <c r="H18" s="32">
        <f t="shared" si="8"/>
        <v>0</v>
      </c>
      <c r="I18" s="32">
        <f t="shared" si="8"/>
        <v>0</v>
      </c>
      <c r="J18" s="32"/>
      <c r="O18" s="52"/>
      <c r="P18" s="52"/>
      <c r="Q18" s="52"/>
      <c r="R18" s="52"/>
      <c r="S18" s="52"/>
      <c r="T18" s="52"/>
      <c r="U18" s="52"/>
      <c r="V18" s="52"/>
    </row>
    <row r="19" spans="1:22" x14ac:dyDescent="0.2">
      <c r="A19" s="30" t="s">
        <v>176</v>
      </c>
      <c r="B19" s="25" t="s">
        <v>191</v>
      </c>
      <c r="C19" s="32"/>
      <c r="D19" s="32"/>
      <c r="E19" s="32"/>
      <c r="F19" s="32"/>
      <c r="G19" s="32"/>
      <c r="H19" s="32"/>
      <c r="I19" s="32"/>
      <c r="J19" s="32"/>
      <c r="O19" s="52"/>
      <c r="P19" s="52"/>
      <c r="Q19" s="52"/>
      <c r="R19" s="52"/>
      <c r="S19" s="52"/>
      <c r="T19" s="52"/>
      <c r="U19" s="52"/>
      <c r="V19" s="52"/>
    </row>
    <row r="20" spans="1:22" x14ac:dyDescent="0.2">
      <c r="A20" s="28" t="s">
        <v>175</v>
      </c>
      <c r="C20" s="24" t="str">
        <f>IF(C17&gt;C19,"YES","NO")</f>
        <v>NO</v>
      </c>
      <c r="D20" s="24" t="str">
        <f t="shared" ref="D20:G20" si="9">IF(D17&gt;D19,"YES","NO")</f>
        <v>NO</v>
      </c>
      <c r="E20" s="24" t="str">
        <f t="shared" si="9"/>
        <v>NO</v>
      </c>
      <c r="F20" s="24" t="str">
        <f t="shared" si="9"/>
        <v>NO</v>
      </c>
      <c r="G20" s="24" t="str">
        <f t="shared" si="9"/>
        <v>NO</v>
      </c>
      <c r="H20" s="24" t="str">
        <f>IF(H17&gt;H19,"YES","NO")</f>
        <v>NO</v>
      </c>
      <c r="I20" s="24" t="str">
        <f t="shared" ref="I20" si="10">IF(I17&gt;I19,"YES","NO")</f>
        <v>NO</v>
      </c>
      <c r="J20" s="24" t="str">
        <f t="shared" ref="J20" si="11">IF(J17&gt;J19,"YES","NO")</f>
        <v>NO</v>
      </c>
    </row>
    <row r="21" spans="1:22" x14ac:dyDescent="0.2">
      <c r="A21" s="28" t="s">
        <v>194</v>
      </c>
      <c r="B21" s="25" t="s">
        <v>193</v>
      </c>
      <c r="C21" s="32"/>
      <c r="D21" s="32"/>
      <c r="E21" s="32"/>
      <c r="F21" s="32"/>
      <c r="G21" s="32"/>
      <c r="H21" s="32"/>
      <c r="I21" s="32"/>
      <c r="J21" s="32"/>
    </row>
    <row r="22" spans="1:22" x14ac:dyDescent="0.2">
      <c r="A22" s="28" t="s">
        <v>208</v>
      </c>
      <c r="C22" s="32">
        <f>C21-D21</f>
        <v>0</v>
      </c>
      <c r="D22" s="32">
        <f t="shared" ref="D22:I22" si="12">D21-E21</f>
        <v>0</v>
      </c>
      <c r="E22" s="32">
        <f t="shared" si="12"/>
        <v>0</v>
      </c>
      <c r="F22" s="32">
        <f t="shared" si="12"/>
        <v>0</v>
      </c>
      <c r="G22" s="32">
        <f t="shared" si="12"/>
        <v>0</v>
      </c>
      <c r="H22" s="32">
        <f t="shared" si="12"/>
        <v>0</v>
      </c>
      <c r="I22" s="32">
        <f t="shared" si="12"/>
        <v>0</v>
      </c>
      <c r="J22" s="32"/>
    </row>
    <row r="23" spans="1:22" x14ac:dyDescent="0.2">
      <c r="A23" s="28" t="s">
        <v>180</v>
      </c>
      <c r="C23" s="44" t="e">
        <f>C17/C21</f>
        <v>#DIV/0!</v>
      </c>
      <c r="D23" s="44" t="e">
        <f t="shared" ref="D23:J23" si="13">D17/D21</f>
        <v>#DIV/0!</v>
      </c>
      <c r="E23" s="44" t="e">
        <f t="shared" si="13"/>
        <v>#DIV/0!</v>
      </c>
      <c r="F23" s="44" t="e">
        <f t="shared" si="13"/>
        <v>#DIV/0!</v>
      </c>
      <c r="G23" s="44" t="e">
        <f t="shared" si="13"/>
        <v>#DIV/0!</v>
      </c>
      <c r="H23" s="44" t="e">
        <f t="shared" si="13"/>
        <v>#DIV/0!</v>
      </c>
      <c r="I23" s="44" t="e">
        <f t="shared" si="13"/>
        <v>#DIV/0!</v>
      </c>
      <c r="J23" s="44" t="e">
        <f t="shared" si="13"/>
        <v>#DIV/0!</v>
      </c>
    </row>
    <row r="24" spans="1:22" x14ac:dyDescent="0.2">
      <c r="A24" s="30" t="s">
        <v>174</v>
      </c>
      <c r="B24" s="25" t="s">
        <v>192</v>
      </c>
      <c r="C24" s="32"/>
      <c r="D24" s="32"/>
      <c r="E24" s="32"/>
      <c r="F24" s="32"/>
      <c r="G24" s="32"/>
      <c r="H24" s="32"/>
      <c r="I24" s="32"/>
      <c r="J24" s="32"/>
    </row>
    <row r="25" spans="1:22" x14ac:dyDescent="0.2">
      <c r="A25" s="28" t="s">
        <v>177</v>
      </c>
      <c r="C25" s="32">
        <f>C24-D24</f>
        <v>0</v>
      </c>
      <c r="D25" s="32">
        <f t="shared" ref="D25:I25" si="14">D24-E24</f>
        <v>0</v>
      </c>
      <c r="E25" s="32">
        <f t="shared" si="14"/>
        <v>0</v>
      </c>
      <c r="F25" s="32">
        <f t="shared" si="14"/>
        <v>0</v>
      </c>
      <c r="G25" s="32">
        <f t="shared" si="14"/>
        <v>0</v>
      </c>
      <c r="H25" s="32">
        <f t="shared" si="14"/>
        <v>0</v>
      </c>
      <c r="I25" s="32">
        <f t="shared" si="14"/>
        <v>0</v>
      </c>
      <c r="J25" s="32"/>
      <c r="O25" s="52"/>
      <c r="P25" s="52"/>
      <c r="Q25" s="52"/>
      <c r="R25" s="52"/>
      <c r="S25" s="52"/>
      <c r="T25" s="52"/>
      <c r="U25" s="52"/>
      <c r="V25" s="52"/>
    </row>
    <row r="26" spans="1:22" x14ac:dyDescent="0.2">
      <c r="A26" s="28" t="s">
        <v>209</v>
      </c>
      <c r="C26" s="44" t="e">
        <f>(C17-C24)/C21</f>
        <v>#DIV/0!</v>
      </c>
      <c r="D26" s="44" t="e">
        <f t="shared" ref="D26:J26" si="15">(D17-D24)/D21</f>
        <v>#DIV/0!</v>
      </c>
      <c r="E26" s="44" t="e">
        <f t="shared" si="15"/>
        <v>#DIV/0!</v>
      </c>
      <c r="F26" s="44" t="e">
        <f t="shared" si="15"/>
        <v>#DIV/0!</v>
      </c>
      <c r="G26" s="44" t="e">
        <f t="shared" si="15"/>
        <v>#DIV/0!</v>
      </c>
      <c r="H26" s="44" t="e">
        <f t="shared" si="15"/>
        <v>#DIV/0!</v>
      </c>
      <c r="I26" s="44" t="e">
        <f t="shared" si="15"/>
        <v>#DIV/0!</v>
      </c>
      <c r="J26" s="44" t="e">
        <f t="shared" si="15"/>
        <v>#DIV/0!</v>
      </c>
    </row>
    <row r="27" spans="1:22" x14ac:dyDescent="0.2">
      <c r="A27" s="30" t="s">
        <v>226</v>
      </c>
      <c r="B27" s="25" t="s">
        <v>227</v>
      </c>
      <c r="C27" s="32"/>
      <c r="D27" s="32"/>
      <c r="E27" s="32"/>
      <c r="F27" s="32"/>
      <c r="G27" s="32"/>
      <c r="H27" s="32"/>
      <c r="I27" s="32"/>
      <c r="J27" s="32"/>
    </row>
    <row r="28" spans="1:22" x14ac:dyDescent="0.2">
      <c r="A28" s="30" t="s">
        <v>228</v>
      </c>
      <c r="C28" s="31" t="e">
        <f>C27/C24</f>
        <v>#DIV/0!</v>
      </c>
      <c r="D28" s="31" t="e">
        <f t="shared" ref="D28:J28" si="16">D27/D24</f>
        <v>#DIV/0!</v>
      </c>
      <c r="E28" s="31" t="e">
        <f t="shared" si="16"/>
        <v>#DIV/0!</v>
      </c>
      <c r="F28" s="31" t="e">
        <f t="shared" si="16"/>
        <v>#DIV/0!</v>
      </c>
      <c r="G28" s="31" t="e">
        <f t="shared" si="16"/>
        <v>#DIV/0!</v>
      </c>
      <c r="H28" s="31" t="e">
        <f t="shared" si="16"/>
        <v>#DIV/0!</v>
      </c>
      <c r="I28" s="31" t="e">
        <f t="shared" si="16"/>
        <v>#DIV/0!</v>
      </c>
      <c r="J28" s="31" t="e">
        <f t="shared" si="16"/>
        <v>#DIV/0!</v>
      </c>
    </row>
    <row r="29" spans="1:22" x14ac:dyDescent="0.2">
      <c r="A29" s="28" t="s">
        <v>229</v>
      </c>
      <c r="B29" s="25" t="s">
        <v>230</v>
      </c>
      <c r="C29" s="44"/>
      <c r="D29" s="44"/>
      <c r="E29" s="44"/>
      <c r="F29" s="44"/>
      <c r="G29" s="44"/>
      <c r="H29" s="44"/>
      <c r="I29" s="44"/>
      <c r="J29" s="44"/>
    </row>
    <row r="30" spans="1:22" x14ac:dyDescent="0.2">
      <c r="A30" s="28" t="s">
        <v>233</v>
      </c>
      <c r="B30" s="25" t="s">
        <v>234</v>
      </c>
      <c r="C30" s="44"/>
      <c r="D30" s="44"/>
      <c r="E30" s="44"/>
      <c r="F30" s="44"/>
      <c r="G30" s="44"/>
      <c r="H30" s="44"/>
      <c r="I30" s="44"/>
      <c r="J30" s="44"/>
    </row>
    <row r="31" spans="1:22" x14ac:dyDescent="0.2">
      <c r="A31" s="30" t="s">
        <v>235</v>
      </c>
      <c r="B31" s="25" t="s">
        <v>239</v>
      </c>
      <c r="C31" s="32"/>
      <c r="D31" s="32"/>
      <c r="E31" s="32"/>
      <c r="F31" s="32"/>
      <c r="G31" s="32"/>
      <c r="H31" s="32"/>
      <c r="I31" s="32"/>
      <c r="J31" s="32"/>
    </row>
    <row r="32" spans="1:22" x14ac:dyDescent="0.2">
      <c r="A32" s="30" t="s">
        <v>236</v>
      </c>
      <c r="B32" s="25" t="s">
        <v>238</v>
      </c>
      <c r="C32" s="32"/>
      <c r="D32" s="32"/>
      <c r="E32" s="32"/>
      <c r="F32" s="32"/>
      <c r="G32" s="32"/>
      <c r="H32" s="32"/>
      <c r="I32" s="32"/>
      <c r="J32" s="32"/>
    </row>
    <row r="33" spans="1:10" x14ac:dyDescent="0.2">
      <c r="A33" s="28" t="s">
        <v>237</v>
      </c>
      <c r="C33" s="31" t="e">
        <f>C32/C31</f>
        <v>#DIV/0!</v>
      </c>
      <c r="D33" s="31" t="e">
        <f t="shared" ref="D33:J33" si="17">D32/D31</f>
        <v>#DIV/0!</v>
      </c>
      <c r="E33" s="31" t="e">
        <f t="shared" si="17"/>
        <v>#DIV/0!</v>
      </c>
      <c r="F33" s="31" t="e">
        <f t="shared" si="17"/>
        <v>#DIV/0!</v>
      </c>
      <c r="G33" s="31" t="e">
        <f t="shared" si="17"/>
        <v>#DIV/0!</v>
      </c>
      <c r="H33" s="31" t="e">
        <f t="shared" si="17"/>
        <v>#DIV/0!</v>
      </c>
      <c r="I33" s="31" t="e">
        <f t="shared" si="17"/>
        <v>#DIV/0!</v>
      </c>
      <c r="J33" s="31" t="e">
        <f t="shared" si="17"/>
        <v>#DIV/0!</v>
      </c>
    </row>
    <row r="34" spans="1:10" x14ac:dyDescent="0.2">
      <c r="A34" s="30" t="s">
        <v>240</v>
      </c>
      <c r="B34" s="25" t="s">
        <v>243</v>
      </c>
      <c r="C34" s="32"/>
      <c r="D34" s="32"/>
      <c r="E34" s="32"/>
      <c r="F34" s="32"/>
      <c r="G34" s="32"/>
      <c r="H34" s="32"/>
      <c r="I34" s="32"/>
      <c r="J34" s="32"/>
    </row>
    <row r="35" spans="1:10" x14ac:dyDescent="0.2">
      <c r="A35" s="30" t="s">
        <v>241</v>
      </c>
      <c r="C35" s="53">
        <f>C34-D34</f>
        <v>0</v>
      </c>
      <c r="D35" s="53">
        <f t="shared" ref="D35:I35" si="18">D34-E34</f>
        <v>0</v>
      </c>
      <c r="E35" s="53">
        <f t="shared" si="18"/>
        <v>0</v>
      </c>
      <c r="F35" s="53">
        <f t="shared" si="18"/>
        <v>0</v>
      </c>
      <c r="G35" s="53">
        <f t="shared" si="18"/>
        <v>0</v>
      </c>
      <c r="H35" s="53">
        <f t="shared" si="18"/>
        <v>0</v>
      </c>
      <c r="I35" s="53">
        <f t="shared" si="18"/>
        <v>0</v>
      </c>
      <c r="J35" s="31"/>
    </row>
    <row r="36" spans="1:10" x14ac:dyDescent="0.2">
      <c r="A36" s="30" t="s">
        <v>242</v>
      </c>
      <c r="C36" s="31" t="e">
        <f>C34/C31</f>
        <v>#DIV/0!</v>
      </c>
      <c r="D36" s="31" t="e">
        <f t="shared" ref="D36:J36" si="19">D34/D31</f>
        <v>#DIV/0!</v>
      </c>
      <c r="E36" s="31" t="e">
        <f t="shared" si="19"/>
        <v>#DIV/0!</v>
      </c>
      <c r="F36" s="31" t="e">
        <f t="shared" si="19"/>
        <v>#DIV/0!</v>
      </c>
      <c r="G36" s="31" t="e">
        <f t="shared" si="19"/>
        <v>#DIV/0!</v>
      </c>
      <c r="H36" s="31" t="e">
        <f t="shared" si="19"/>
        <v>#DIV/0!</v>
      </c>
      <c r="I36" s="31" t="e">
        <f t="shared" si="19"/>
        <v>#DIV/0!</v>
      </c>
      <c r="J36" s="31" t="e">
        <f t="shared" si="19"/>
        <v>#DIV/0!</v>
      </c>
    </row>
    <row r="37" spans="1:10" x14ac:dyDescent="0.2">
      <c r="A37" s="30"/>
    </row>
    <row r="38" spans="1:10" x14ac:dyDescent="0.2">
      <c r="A38" s="30"/>
    </row>
    <row r="39" spans="1:10" x14ac:dyDescent="0.2">
      <c r="A39" s="30"/>
    </row>
    <row r="40" spans="1:10" x14ac:dyDescent="0.2">
      <c r="A40" s="30"/>
    </row>
    <row r="42" spans="1:10" x14ac:dyDescent="0.2">
      <c r="A42" s="33" t="s">
        <v>39</v>
      </c>
    </row>
    <row r="43" spans="1:10" x14ac:dyDescent="0.2">
      <c r="A43" s="33" t="s">
        <v>40</v>
      </c>
    </row>
    <row r="44" spans="1:10" x14ac:dyDescent="0.2">
      <c r="A44" s="33" t="s">
        <v>41</v>
      </c>
    </row>
    <row r="45" spans="1:10" x14ac:dyDescent="0.2">
      <c r="A45" s="33"/>
    </row>
    <row r="46" spans="1:10" x14ac:dyDescent="0.2">
      <c r="A46" s="33"/>
    </row>
    <row r="47" spans="1:10" x14ac:dyDescent="0.2">
      <c r="A47" s="33"/>
    </row>
    <row r="48" spans="1:10" x14ac:dyDescent="0.2">
      <c r="A48" s="33"/>
    </row>
    <row r="49" spans="1:1" x14ac:dyDescent="0.2">
      <c r="A49" s="33"/>
    </row>
    <row r="50" spans="1:1" x14ac:dyDescent="0.2">
      <c r="A50" s="33"/>
    </row>
    <row r="51" spans="1:1" x14ac:dyDescent="0.2">
      <c r="A51" s="34" t="s">
        <v>42</v>
      </c>
    </row>
    <row r="52" spans="1:1" x14ac:dyDescent="0.2">
      <c r="A52" s="33" t="s">
        <v>43</v>
      </c>
    </row>
    <row r="53" spans="1:1" x14ac:dyDescent="0.2">
      <c r="A53" s="33" t="s">
        <v>44</v>
      </c>
    </row>
    <row r="54" spans="1:1" x14ac:dyDescent="0.2">
      <c r="A54" s="33"/>
    </row>
    <row r="55" spans="1:1" x14ac:dyDescent="0.2">
      <c r="A55" s="33" t="s">
        <v>45</v>
      </c>
    </row>
    <row r="56" spans="1:1" x14ac:dyDescent="0.2">
      <c r="A56" s="33" t="s">
        <v>46</v>
      </c>
    </row>
    <row r="57" spans="1:1" x14ac:dyDescent="0.2">
      <c r="A57" s="33" t="s">
        <v>25</v>
      </c>
    </row>
    <row r="58" spans="1:1" x14ac:dyDescent="0.2">
      <c r="A58" s="33" t="s">
        <v>47</v>
      </c>
    </row>
    <row r="59" spans="1:1" x14ac:dyDescent="0.2">
      <c r="A59" s="33"/>
    </row>
    <row r="60" spans="1:1" x14ac:dyDescent="0.2">
      <c r="A60" s="33" t="s">
        <v>48</v>
      </c>
    </row>
    <row r="61" spans="1:1" x14ac:dyDescent="0.2">
      <c r="A61" s="33" t="s">
        <v>47</v>
      </c>
    </row>
    <row r="62" spans="1:1" x14ac:dyDescent="0.2">
      <c r="A62" s="33" t="s">
        <v>49</v>
      </c>
    </row>
    <row r="63" spans="1:1" x14ac:dyDescent="0.2">
      <c r="A63" s="33" t="s">
        <v>50</v>
      </c>
    </row>
    <row r="64" spans="1:1" x14ac:dyDescent="0.2">
      <c r="A64" s="33" t="s">
        <v>51</v>
      </c>
    </row>
    <row r="65" spans="1:1" x14ac:dyDescent="0.2">
      <c r="A65" s="33" t="s">
        <v>52</v>
      </c>
    </row>
    <row r="66" spans="1:1" x14ac:dyDescent="0.2">
      <c r="A66" s="33"/>
    </row>
    <row r="67" spans="1:1" x14ac:dyDescent="0.2">
      <c r="A67" s="33"/>
    </row>
    <row r="68" spans="1:1" x14ac:dyDescent="0.2">
      <c r="A68" s="33" t="s">
        <v>53</v>
      </c>
    </row>
    <row r="69" spans="1:1" x14ac:dyDescent="0.2">
      <c r="A69" s="33" t="s">
        <v>54</v>
      </c>
    </row>
    <row r="70" spans="1:1" x14ac:dyDescent="0.2">
      <c r="A70" s="33" t="s">
        <v>55</v>
      </c>
    </row>
    <row r="71" spans="1:1" x14ac:dyDescent="0.2">
      <c r="A71" s="33"/>
    </row>
    <row r="72" spans="1:1" x14ac:dyDescent="0.2">
      <c r="A72" s="33" t="s">
        <v>56</v>
      </c>
    </row>
    <row r="73" spans="1:1" x14ac:dyDescent="0.2">
      <c r="A73" s="33"/>
    </row>
    <row r="74" spans="1:1" x14ac:dyDescent="0.2">
      <c r="A74" s="35"/>
    </row>
    <row r="75" spans="1:1" x14ac:dyDescent="0.2">
      <c r="A75" s="33" t="s">
        <v>57</v>
      </c>
    </row>
    <row r="76" spans="1:1" x14ac:dyDescent="0.2">
      <c r="A76" s="33"/>
    </row>
    <row r="77" spans="1:1" x14ac:dyDescent="0.2">
      <c r="A77" s="33" t="s">
        <v>58</v>
      </c>
    </row>
    <row r="78" spans="1:1" x14ac:dyDescent="0.2">
      <c r="A78" s="33" t="s">
        <v>59</v>
      </c>
    </row>
    <row r="79" spans="1:1" x14ac:dyDescent="0.2">
      <c r="A79" s="33" t="s">
        <v>60</v>
      </c>
    </row>
    <row r="80" spans="1:1" x14ac:dyDescent="0.2">
      <c r="A80" s="33"/>
    </row>
    <row r="81" spans="1:1" x14ac:dyDescent="0.2">
      <c r="A81" s="33" t="s">
        <v>61</v>
      </c>
    </row>
    <row r="82" spans="1:1" x14ac:dyDescent="0.2">
      <c r="A82" s="33" t="s">
        <v>62</v>
      </c>
    </row>
    <row r="83" spans="1:1" x14ac:dyDescent="0.2">
      <c r="A83" s="33" t="s">
        <v>63</v>
      </c>
    </row>
    <row r="84" spans="1:1" x14ac:dyDescent="0.2">
      <c r="A84" s="33"/>
    </row>
    <row r="85" spans="1:1" x14ac:dyDescent="0.2">
      <c r="A85" s="33" t="s">
        <v>64</v>
      </c>
    </row>
    <row r="86" spans="1:1" x14ac:dyDescent="0.2">
      <c r="A86" s="35"/>
    </row>
    <row r="87" spans="1:1" x14ac:dyDescent="0.2">
      <c r="A87" s="35"/>
    </row>
    <row r="88" spans="1:1" x14ac:dyDescent="0.2">
      <c r="A88" s="35"/>
    </row>
    <row r="89" spans="1:1" x14ac:dyDescent="0.2">
      <c r="A89" s="35"/>
    </row>
    <row r="90" spans="1:1" x14ac:dyDescent="0.2">
      <c r="A90" s="35"/>
    </row>
    <row r="91" spans="1:1" x14ac:dyDescent="0.2">
      <c r="A91" s="33" t="s">
        <v>65</v>
      </c>
    </row>
    <row r="92" spans="1:1" x14ac:dyDescent="0.2">
      <c r="A92" s="33"/>
    </row>
    <row r="93" spans="1:1" x14ac:dyDescent="0.2">
      <c r="A93" s="35"/>
    </row>
    <row r="94" spans="1:1" x14ac:dyDescent="0.2">
      <c r="A94" s="35"/>
    </row>
    <row r="95" spans="1:1" x14ac:dyDescent="0.2">
      <c r="A95" s="35"/>
    </row>
    <row r="96" spans="1:1" x14ac:dyDescent="0.2">
      <c r="A96" s="35"/>
    </row>
    <row r="97" spans="1:1" x14ac:dyDescent="0.2">
      <c r="A97" s="33" t="s">
        <v>66</v>
      </c>
    </row>
    <row r="98" spans="1:1" x14ac:dyDescent="0.2">
      <c r="A98" s="36"/>
    </row>
    <row r="99" spans="1:1" x14ac:dyDescent="0.2">
      <c r="A99" s="37" t="s">
        <v>67</v>
      </c>
    </row>
    <row r="100" spans="1:1" x14ac:dyDescent="0.2">
      <c r="A100" s="38" t="s">
        <v>68</v>
      </c>
    </row>
    <row r="101" spans="1:1" x14ac:dyDescent="0.2">
      <c r="A101" s="38" t="s">
        <v>69</v>
      </c>
    </row>
    <row r="102" spans="1:1" x14ac:dyDescent="0.2">
      <c r="A102" s="38" t="s">
        <v>70</v>
      </c>
    </row>
    <row r="103" spans="1:1" x14ac:dyDescent="0.2">
      <c r="A103" s="38" t="s">
        <v>71</v>
      </c>
    </row>
    <row r="104" spans="1:1" x14ac:dyDescent="0.2">
      <c r="A104" s="38" t="s">
        <v>72</v>
      </c>
    </row>
    <row r="106" spans="1:1" x14ac:dyDescent="0.2">
      <c r="A106" s="39" t="s">
        <v>73</v>
      </c>
    </row>
    <row r="107" spans="1:1" x14ac:dyDescent="0.2">
      <c r="A107" s="40" t="s">
        <v>74</v>
      </c>
    </row>
    <row r="108" spans="1:1" x14ac:dyDescent="0.2">
      <c r="A108" s="40" t="s">
        <v>75</v>
      </c>
    </row>
    <row r="109" spans="1:1" x14ac:dyDescent="0.2">
      <c r="A109" s="40" t="s">
        <v>76</v>
      </c>
    </row>
    <row r="110" spans="1:1" x14ac:dyDescent="0.2">
      <c r="A110" s="40" t="s">
        <v>77</v>
      </c>
    </row>
    <row r="111" spans="1:1" x14ac:dyDescent="0.2">
      <c r="A111" s="40" t="s">
        <v>78</v>
      </c>
    </row>
    <row r="112" spans="1:1" x14ac:dyDescent="0.2">
      <c r="A112" s="40" t="s">
        <v>79</v>
      </c>
    </row>
    <row r="113" spans="1:1" x14ac:dyDescent="0.2">
      <c r="A113" s="40" t="s">
        <v>80</v>
      </c>
    </row>
    <row r="114" spans="1:1" x14ac:dyDescent="0.2">
      <c r="A114" s="40"/>
    </row>
    <row r="115" spans="1:1" x14ac:dyDescent="0.2">
      <c r="A115" s="40" t="s">
        <v>81</v>
      </c>
    </row>
    <row r="116" spans="1:1" x14ac:dyDescent="0.2">
      <c r="A116" s="40"/>
    </row>
    <row r="117" spans="1:1" x14ac:dyDescent="0.2">
      <c r="A117" s="40"/>
    </row>
    <row r="118" spans="1:1" x14ac:dyDescent="0.2">
      <c r="A118" s="40"/>
    </row>
    <row r="119" spans="1:1" x14ac:dyDescent="0.2">
      <c r="A119" s="40" t="s">
        <v>82</v>
      </c>
    </row>
    <row r="120" spans="1:1" x14ac:dyDescent="0.2">
      <c r="A120" s="40" t="s">
        <v>83</v>
      </c>
    </row>
    <row r="121" spans="1:1" x14ac:dyDescent="0.2">
      <c r="A121" s="40" t="s">
        <v>84</v>
      </c>
    </row>
    <row r="122" spans="1:1" x14ac:dyDescent="0.2">
      <c r="A122" s="40" t="s">
        <v>85</v>
      </c>
    </row>
    <row r="124" spans="1:1" x14ac:dyDescent="0.2">
      <c r="A124" s="41" t="s">
        <v>86</v>
      </c>
    </row>
    <row r="125" spans="1:1" x14ac:dyDescent="0.2">
      <c r="A125" s="42" t="s">
        <v>87</v>
      </c>
    </row>
    <row r="126" spans="1:1" x14ac:dyDescent="0.2">
      <c r="A126" s="42"/>
    </row>
    <row r="127" spans="1:1" x14ac:dyDescent="0.2">
      <c r="A127" s="42" t="s">
        <v>88</v>
      </c>
    </row>
    <row r="128" spans="1:1" x14ac:dyDescent="0.2">
      <c r="A128" s="42" t="s">
        <v>89</v>
      </c>
    </row>
    <row r="129" spans="1:1" x14ac:dyDescent="0.2">
      <c r="A129" s="42" t="s">
        <v>90</v>
      </c>
    </row>
    <row r="130" spans="1:1" x14ac:dyDescent="0.2">
      <c r="A130" s="42" t="s">
        <v>81</v>
      </c>
    </row>
    <row r="131" spans="1:1" x14ac:dyDescent="0.2">
      <c r="A131" s="42" t="s">
        <v>91</v>
      </c>
    </row>
    <row r="132" spans="1:1" x14ac:dyDescent="0.2">
      <c r="A132" s="42" t="s">
        <v>92</v>
      </c>
    </row>
    <row r="133" spans="1:1" x14ac:dyDescent="0.2">
      <c r="A133" s="42" t="s">
        <v>93</v>
      </c>
    </row>
    <row r="134" spans="1:1" x14ac:dyDescent="0.2">
      <c r="A134" s="42" t="s">
        <v>94</v>
      </c>
    </row>
    <row r="135" spans="1:1" x14ac:dyDescent="0.2">
      <c r="A135" s="42"/>
    </row>
    <row r="136" spans="1:1" x14ac:dyDescent="0.2">
      <c r="A136" s="41" t="s">
        <v>95</v>
      </c>
    </row>
    <row r="137" spans="1:1" x14ac:dyDescent="0.2">
      <c r="A137" s="42" t="s">
        <v>96</v>
      </c>
    </row>
    <row r="140" spans="1:1" x14ac:dyDescent="0.2">
      <c r="A140" s="24" t="s">
        <v>97</v>
      </c>
    </row>
    <row r="141" spans="1:1" x14ac:dyDescent="0.2">
      <c r="A141" s="24" t="s">
        <v>98</v>
      </c>
    </row>
    <row r="142" spans="1:1" x14ac:dyDescent="0.2">
      <c r="A142" s="24" t="s">
        <v>110</v>
      </c>
    </row>
    <row r="143" spans="1:1" x14ac:dyDescent="0.2">
      <c r="A143" s="24" t="s">
        <v>111</v>
      </c>
    </row>
    <row r="144" spans="1:1" x14ac:dyDescent="0.2">
      <c r="A144" s="24" t="s">
        <v>112</v>
      </c>
    </row>
    <row r="145" spans="1:1" x14ac:dyDescent="0.2">
      <c r="A145" s="24" t="s">
        <v>113</v>
      </c>
    </row>
    <row r="146" spans="1:1" x14ac:dyDescent="0.2">
      <c r="A146" s="24" t="s">
        <v>114</v>
      </c>
    </row>
    <row r="147" spans="1:1" x14ac:dyDescent="0.2">
      <c r="A147" s="24" t="s">
        <v>115</v>
      </c>
    </row>
    <row r="148" spans="1:1" x14ac:dyDescent="0.2">
      <c r="A148" s="24" t="s">
        <v>116</v>
      </c>
    </row>
    <row r="149" spans="1:1" x14ac:dyDescent="0.2">
      <c r="A149" s="24" t="s">
        <v>117</v>
      </c>
    </row>
    <row r="150" spans="1:1" x14ac:dyDescent="0.2">
      <c r="A150" s="24" t="s">
        <v>118</v>
      </c>
    </row>
    <row r="151" spans="1:1" x14ac:dyDescent="0.2">
      <c r="A151" s="24" t="s">
        <v>119</v>
      </c>
    </row>
    <row r="152" spans="1:1" x14ac:dyDescent="0.2">
      <c r="A152" s="43" t="s">
        <v>120</v>
      </c>
    </row>
    <row r="153" spans="1:1" x14ac:dyDescent="0.2">
      <c r="A153" s="43" t="s">
        <v>121</v>
      </c>
    </row>
    <row r="154" spans="1:1" x14ac:dyDescent="0.2">
      <c r="A154" s="43" t="s">
        <v>122</v>
      </c>
    </row>
    <row r="155" spans="1:1" x14ac:dyDescent="0.2">
      <c r="A155" s="43" t="s">
        <v>123</v>
      </c>
    </row>
    <row r="156" spans="1:1" x14ac:dyDescent="0.2">
      <c r="A156" s="43" t="s">
        <v>124</v>
      </c>
    </row>
    <row r="157" spans="1:1" x14ac:dyDescent="0.2">
      <c r="A157" s="43" t="s">
        <v>125</v>
      </c>
    </row>
    <row r="158" spans="1:1" x14ac:dyDescent="0.2">
      <c r="A158" s="43" t="s">
        <v>126</v>
      </c>
    </row>
  </sheetData>
  <dataConsolidate/>
  <conditionalFormatting sqref="C1 D7:J8 G1:K1 C2:J6 C12:J1048576">
    <cfRule type="cellIs" dxfId="11" priority="11" operator="lessThan">
      <formula>0</formula>
    </cfRule>
  </conditionalFormatting>
  <conditionalFormatting sqref="F1">
    <cfRule type="cellIs" dxfId="10" priority="10" operator="lessThan">
      <formula>0</formula>
    </cfRule>
  </conditionalFormatting>
  <conditionalFormatting sqref="C9:J11">
    <cfRule type="cellIs" dxfId="9" priority="9" operator="lessThan">
      <formula>0</formula>
    </cfRule>
  </conditionalFormatting>
  <conditionalFormatting sqref="C7:C8">
    <cfRule type="cellIs" dxfId="8" priority="8" operator="lessThan">
      <formula>0</formula>
    </cfRule>
  </conditionalFormatting>
  <conditionalFormatting sqref="C15:J26">
    <cfRule type="cellIs" dxfId="7" priority="7" operator="lessThan">
      <formula>0</formula>
    </cfRule>
  </conditionalFormatting>
  <conditionalFormatting sqref="L6">
    <cfRule type="cellIs" dxfId="6" priority="6" operator="lessThan">
      <formula>0</formula>
    </cfRule>
  </conditionalFormatting>
  <conditionalFormatting sqref="M6">
    <cfRule type="cellIs" dxfId="5" priority="5" operator="lessThan">
      <formula>0</formula>
    </cfRule>
  </conditionalFormatting>
  <conditionalFormatting sqref="L7">
    <cfRule type="cellIs" dxfId="4" priority="4" operator="lessThan">
      <formula>0</formula>
    </cfRule>
  </conditionalFormatting>
  <conditionalFormatting sqref="M7">
    <cfRule type="cellIs" dxfId="3" priority="3" operator="lessThan">
      <formula>0</formula>
    </cfRule>
  </conditionalFormatting>
  <conditionalFormatting sqref="L5">
    <cfRule type="cellIs" dxfId="2" priority="2" operator="lessThan">
      <formula>0</formula>
    </cfRule>
  </conditionalFormatting>
  <conditionalFormatting sqref="M5">
    <cfRule type="cellIs" dxfId="1" priority="1" operator="lessThan">
      <formula>0</formula>
    </cfRule>
  </conditionalFormatting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X279"/>
  <sheetViews>
    <sheetView workbookViewId="0">
      <selection sqref="A1:XFD1048576"/>
    </sheetView>
  </sheetViews>
  <sheetFormatPr defaultRowHeight="15" x14ac:dyDescent="0.25"/>
  <cols>
    <col min="1" max="1" width="9.140625" style="18"/>
    <col min="2" max="2" width="76" style="1" customWidth="1"/>
    <col min="3" max="3" width="3.7109375" style="18" customWidth="1"/>
    <col min="4" max="4" width="9.85546875" style="1" customWidth="1"/>
    <col min="5" max="5" width="14.140625" style="1" customWidth="1"/>
    <col min="6" max="16" width="9.85546875" style="1" customWidth="1"/>
    <col min="17" max="24" width="9.140625" style="21"/>
    <col min="25" max="16384" width="9.140625" style="18"/>
  </cols>
  <sheetData>
    <row r="2" spans="2:6" x14ac:dyDescent="0.25">
      <c r="B2" s="1" t="s">
        <v>99</v>
      </c>
      <c r="F2" s="1" t="s">
        <v>0</v>
      </c>
    </row>
    <row r="3" spans="2:6" x14ac:dyDescent="0.25">
      <c r="B3" s="1" t="s">
        <v>154</v>
      </c>
    </row>
    <row r="13" spans="2:6" x14ac:dyDescent="0.25">
      <c r="B13" s="1" t="s">
        <v>100</v>
      </c>
    </row>
    <row r="15" spans="2:6" x14ac:dyDescent="0.25">
      <c r="B15" s="1" t="s">
        <v>101</v>
      </c>
    </row>
    <row r="19" spans="2:2" x14ac:dyDescent="0.25">
      <c r="B19" s="1" t="s">
        <v>102</v>
      </c>
    </row>
    <row r="21" spans="2:2" x14ac:dyDescent="0.25">
      <c r="B21" s="1" t="s">
        <v>103</v>
      </c>
    </row>
    <row r="23" spans="2:2" x14ac:dyDescent="0.25">
      <c r="B23" s="1" t="s">
        <v>104</v>
      </c>
    </row>
    <row r="25" spans="2:2" x14ac:dyDescent="0.25">
      <c r="B25" s="1" t="s">
        <v>105</v>
      </c>
    </row>
    <row r="26" spans="2:2" x14ac:dyDescent="0.25">
      <c r="B26" s="1" t="s">
        <v>106</v>
      </c>
    </row>
    <row r="27" spans="2:2" x14ac:dyDescent="0.25">
      <c r="B27" s="1" t="s">
        <v>107</v>
      </c>
    </row>
    <row r="30" spans="2:2" x14ac:dyDescent="0.25">
      <c r="B30" s="1" t="s">
        <v>108</v>
      </c>
    </row>
    <row r="34" spans="2:2" x14ac:dyDescent="0.25">
      <c r="B34" s="1" t="s">
        <v>109</v>
      </c>
    </row>
    <row r="36" spans="2:2" x14ac:dyDescent="0.25">
      <c r="B36" s="17" t="s">
        <v>152</v>
      </c>
    </row>
    <row r="37" spans="2:2" x14ac:dyDescent="0.25">
      <c r="B37" s="1" t="s">
        <v>127</v>
      </c>
    </row>
    <row r="38" spans="2:2" x14ac:dyDescent="0.25">
      <c r="B38" s="1" t="s">
        <v>153</v>
      </c>
    </row>
    <row r="39" spans="2:2" x14ac:dyDescent="0.25">
      <c r="B39" s="1" t="s">
        <v>138</v>
      </c>
    </row>
    <row r="40" spans="2:2" x14ac:dyDescent="0.25">
      <c r="B40" s="1" t="s">
        <v>135</v>
      </c>
    </row>
    <row r="41" spans="2:2" x14ac:dyDescent="0.25">
      <c r="B41" s="1" t="s">
        <v>130</v>
      </c>
    </row>
    <row r="42" spans="2:2" x14ac:dyDescent="0.25">
      <c r="B42" s="1" t="s">
        <v>139</v>
      </c>
    </row>
    <row r="43" spans="2:2" x14ac:dyDescent="0.25">
      <c r="B43" s="1" t="s">
        <v>140</v>
      </c>
    </row>
    <row r="44" spans="2:2" x14ac:dyDescent="0.25">
      <c r="B44" s="1" t="s">
        <v>131</v>
      </c>
    </row>
    <row r="45" spans="2:2" x14ac:dyDescent="0.25">
      <c r="B45" s="1" t="s">
        <v>132</v>
      </c>
    </row>
    <row r="46" spans="2:2" x14ac:dyDescent="0.25">
      <c r="B46" s="1" t="s">
        <v>141</v>
      </c>
    </row>
    <row r="47" spans="2:2" x14ac:dyDescent="0.25">
      <c r="B47" s="1" t="s">
        <v>142</v>
      </c>
    </row>
    <row r="48" spans="2:2" x14ac:dyDescent="0.25">
      <c r="B48" s="17" t="s">
        <v>143</v>
      </c>
    </row>
    <row r="49" spans="2:2" x14ac:dyDescent="0.25">
      <c r="B49" s="1" t="s">
        <v>144</v>
      </c>
    </row>
    <row r="50" spans="2:2" x14ac:dyDescent="0.25">
      <c r="B50" s="1" t="s">
        <v>145</v>
      </c>
    </row>
    <row r="51" spans="2:2" x14ac:dyDescent="0.25">
      <c r="B51" s="17" t="s">
        <v>146</v>
      </c>
    </row>
    <row r="52" spans="2:2" x14ac:dyDescent="0.25">
      <c r="B52" s="1" t="s">
        <v>147</v>
      </c>
    </row>
    <row r="53" spans="2:2" x14ac:dyDescent="0.25">
      <c r="B53" s="1" t="s">
        <v>148</v>
      </c>
    </row>
    <row r="54" spans="2:2" x14ac:dyDescent="0.25">
      <c r="B54" s="16" t="s">
        <v>149</v>
      </c>
    </row>
    <row r="55" spans="2:2" x14ac:dyDescent="0.25">
      <c r="B55" s="1" t="s">
        <v>150</v>
      </c>
    </row>
    <row r="56" spans="2:2" x14ac:dyDescent="0.25">
      <c r="B56" s="1" t="s">
        <v>151</v>
      </c>
    </row>
    <row r="64" spans="2:2" x14ac:dyDescent="0.25">
      <c r="B64" s="1" t="s">
        <v>133</v>
      </c>
    </row>
    <row r="65" spans="2:2" x14ac:dyDescent="0.25">
      <c r="B65" s="1" t="s">
        <v>134</v>
      </c>
    </row>
    <row r="66" spans="2:2" x14ac:dyDescent="0.25">
      <c r="B66" s="1" t="s">
        <v>136</v>
      </c>
    </row>
    <row r="67" spans="2:2" x14ac:dyDescent="0.25">
      <c r="B67" s="1" t="s">
        <v>137</v>
      </c>
    </row>
    <row r="69" spans="2:2" x14ac:dyDescent="0.25">
      <c r="B69" s="16" t="s">
        <v>128</v>
      </c>
    </row>
    <row r="70" spans="2:2" x14ac:dyDescent="0.25">
      <c r="B70" s="1" t="s">
        <v>129</v>
      </c>
    </row>
    <row r="79" spans="2:2" x14ac:dyDescent="0.25">
      <c r="B79" s="14" t="s">
        <v>164</v>
      </c>
    </row>
    <row r="80" spans="2:2" x14ac:dyDescent="0.25">
      <c r="B80" s="14" t="s">
        <v>166</v>
      </c>
    </row>
    <row r="83" spans="2:10" x14ac:dyDescent="0.25">
      <c r="B83" s="1" t="s">
        <v>167</v>
      </c>
      <c r="D83" s="1" t="s">
        <v>168</v>
      </c>
      <c r="E83" s="1" t="s">
        <v>169</v>
      </c>
      <c r="F83" s="1" t="s">
        <v>171</v>
      </c>
      <c r="G83" s="1" t="s">
        <v>172</v>
      </c>
      <c r="H83" s="1" t="s">
        <v>178</v>
      </c>
      <c r="I83" s="1" t="s">
        <v>179</v>
      </c>
      <c r="J83" s="1" t="s">
        <v>185</v>
      </c>
    </row>
    <row r="84" spans="2:10" x14ac:dyDescent="0.25">
      <c r="B84" s="18"/>
    </row>
    <row r="87" spans="2:10" ht="15.75" x14ac:dyDescent="0.25">
      <c r="B87" s="13" t="s">
        <v>1</v>
      </c>
      <c r="D87" s="1" t="s">
        <v>155</v>
      </c>
    </row>
    <row r="88" spans="2:10" ht="15.75" x14ac:dyDescent="0.25">
      <c r="B88" s="13"/>
    </row>
    <row r="89" spans="2:10" x14ac:dyDescent="0.25">
      <c r="B89" s="14" t="s">
        <v>163</v>
      </c>
    </row>
    <row r="90" spans="2:10" x14ac:dyDescent="0.25">
      <c r="B90" s="14" t="s">
        <v>165</v>
      </c>
    </row>
    <row r="91" spans="2:10" x14ac:dyDescent="0.25">
      <c r="B91" s="14" t="s">
        <v>170</v>
      </c>
    </row>
    <row r="92" spans="2:10" x14ac:dyDescent="0.25">
      <c r="B92" s="14" t="s">
        <v>183</v>
      </c>
    </row>
    <row r="93" spans="2:10" x14ac:dyDescent="0.25">
      <c r="B93" s="22" t="s">
        <v>173</v>
      </c>
    </row>
    <row r="94" spans="2:10" x14ac:dyDescent="0.25">
      <c r="B94" s="22" t="s">
        <v>184</v>
      </c>
    </row>
    <row r="95" spans="2:10" x14ac:dyDescent="0.25">
      <c r="B95" s="14" t="s">
        <v>161</v>
      </c>
      <c r="D95" s="1">
        <v>400</v>
      </c>
      <c r="E95" s="1">
        <v>1500</v>
      </c>
      <c r="F95" s="1">
        <v>90</v>
      </c>
    </row>
    <row r="96" spans="2:10" x14ac:dyDescent="0.25">
      <c r="B96" s="14" t="s">
        <v>162</v>
      </c>
      <c r="D96" s="1">
        <v>900</v>
      </c>
      <c r="E96" s="1">
        <v>9000</v>
      </c>
      <c r="F96" s="1">
        <v>34567</v>
      </c>
    </row>
    <row r="97" spans="2:24" x14ac:dyDescent="0.25">
      <c r="B97" s="14" t="s">
        <v>159</v>
      </c>
      <c r="D97" s="1">
        <f>SUM(D95,D96)</f>
        <v>1300</v>
      </c>
      <c r="E97" s="1">
        <f t="shared" ref="E97:H97" si="0">SUM(E95,E96)</f>
        <v>10500</v>
      </c>
      <c r="F97" s="1">
        <f t="shared" si="0"/>
        <v>34657</v>
      </c>
      <c r="G97" s="1">
        <f t="shared" si="0"/>
        <v>0</v>
      </c>
      <c r="H97" s="1">
        <f t="shared" si="0"/>
        <v>0</v>
      </c>
    </row>
    <row r="98" spans="2:24" x14ac:dyDescent="0.25">
      <c r="B98" s="22" t="s">
        <v>160</v>
      </c>
      <c r="D98" s="1">
        <f>SUM(D97,-E97)</f>
        <v>-9200</v>
      </c>
      <c r="E98" s="1">
        <f t="shared" ref="E98:H98" si="1">SUM(E97,-F97)</f>
        <v>-24157</v>
      </c>
      <c r="F98" s="1">
        <f t="shared" si="1"/>
        <v>34657</v>
      </c>
      <c r="G98" s="1">
        <f t="shared" si="1"/>
        <v>0</v>
      </c>
      <c r="H98" s="1">
        <f t="shared" si="1"/>
        <v>0</v>
      </c>
      <c r="Q98" s="54" t="s">
        <v>158</v>
      </c>
      <c r="R98" s="54"/>
      <c r="S98" s="54"/>
      <c r="T98" s="54"/>
      <c r="U98" s="54"/>
      <c r="V98" s="54"/>
      <c r="W98" s="54"/>
      <c r="X98" s="54"/>
    </row>
    <row r="99" spans="2:24" x14ac:dyDescent="0.25">
      <c r="B99" s="14" t="s">
        <v>176</v>
      </c>
      <c r="Q99" s="54" t="s">
        <v>156</v>
      </c>
      <c r="R99" s="54"/>
      <c r="S99" s="54"/>
      <c r="T99" s="54"/>
      <c r="U99" s="54"/>
      <c r="V99" s="54"/>
      <c r="W99" s="54"/>
      <c r="X99" s="54"/>
    </row>
    <row r="100" spans="2:24" x14ac:dyDescent="0.25">
      <c r="B100" s="22" t="s">
        <v>175</v>
      </c>
    </row>
    <row r="101" spans="2:24" x14ac:dyDescent="0.25">
      <c r="B101" s="23" t="s">
        <v>174</v>
      </c>
    </row>
    <row r="102" spans="2:24" x14ac:dyDescent="0.25">
      <c r="B102" s="22" t="s">
        <v>177</v>
      </c>
      <c r="Q102" s="54" t="s">
        <v>157</v>
      </c>
      <c r="R102" s="54"/>
      <c r="S102" s="54"/>
      <c r="T102" s="54"/>
      <c r="U102" s="54"/>
      <c r="V102" s="54"/>
      <c r="W102" s="54"/>
      <c r="X102" s="54"/>
    </row>
    <row r="103" spans="2:24" x14ac:dyDescent="0.25">
      <c r="B103" s="22" t="s">
        <v>181</v>
      </c>
    </row>
    <row r="104" spans="2:24" x14ac:dyDescent="0.25">
      <c r="B104" s="22" t="s">
        <v>180</v>
      </c>
    </row>
    <row r="105" spans="2:24" x14ac:dyDescent="0.25">
      <c r="B105" s="22" t="s">
        <v>182</v>
      </c>
    </row>
    <row r="106" spans="2:24" x14ac:dyDescent="0.25">
      <c r="B106" s="14"/>
    </row>
    <row r="107" spans="2:24" x14ac:dyDescent="0.25">
      <c r="B107" s="14"/>
    </row>
    <row r="108" spans="2:24" x14ac:dyDescent="0.25">
      <c r="B108" s="14" t="s">
        <v>3</v>
      </c>
    </row>
    <row r="109" spans="2:24" x14ac:dyDescent="0.25">
      <c r="B109" s="14"/>
    </row>
    <row r="110" spans="2:24" x14ac:dyDescent="0.25">
      <c r="B110" s="14" t="s">
        <v>4</v>
      </c>
    </row>
    <row r="111" spans="2:24" x14ac:dyDescent="0.25">
      <c r="B111" s="14" t="s">
        <v>5</v>
      </c>
    </row>
    <row r="112" spans="2:24" x14ac:dyDescent="0.25">
      <c r="B112" s="14" t="s">
        <v>6</v>
      </c>
    </row>
    <row r="113" spans="2:2" x14ac:dyDescent="0.25">
      <c r="B113" s="14"/>
    </row>
    <row r="114" spans="2:2" x14ac:dyDescent="0.25">
      <c r="B114" s="14"/>
    </row>
    <row r="115" spans="2:2" x14ac:dyDescent="0.25">
      <c r="B115" s="14" t="s">
        <v>7</v>
      </c>
    </row>
    <row r="116" spans="2:2" x14ac:dyDescent="0.25">
      <c r="B116" s="14"/>
    </row>
    <row r="117" spans="2:2" x14ac:dyDescent="0.25">
      <c r="B117" s="14"/>
    </row>
    <row r="118" spans="2:2" x14ac:dyDescent="0.25">
      <c r="B118" s="14"/>
    </row>
    <row r="119" spans="2:2" x14ac:dyDescent="0.25">
      <c r="B119" s="14" t="s">
        <v>8</v>
      </c>
    </row>
    <row r="120" spans="2:2" x14ac:dyDescent="0.25">
      <c r="B120" s="14"/>
    </row>
    <row r="121" spans="2:2" x14ac:dyDescent="0.25">
      <c r="B121" s="14" t="s">
        <v>9</v>
      </c>
    </row>
    <row r="122" spans="2:2" x14ac:dyDescent="0.25">
      <c r="B122" s="14"/>
    </row>
    <row r="123" spans="2:2" x14ac:dyDescent="0.25">
      <c r="B123" s="15" t="s">
        <v>10</v>
      </c>
    </row>
    <row r="124" spans="2:2" x14ac:dyDescent="0.25">
      <c r="B124" s="14"/>
    </row>
    <row r="125" spans="2:2" x14ac:dyDescent="0.25">
      <c r="B125" s="14"/>
    </row>
    <row r="126" spans="2:2" x14ac:dyDescent="0.25">
      <c r="B126" s="14" t="s">
        <v>11</v>
      </c>
    </row>
    <row r="127" spans="2:2" x14ac:dyDescent="0.25">
      <c r="B127" s="14" t="s">
        <v>12</v>
      </c>
    </row>
    <row r="128" spans="2:2" x14ac:dyDescent="0.25">
      <c r="B128" s="14" t="s">
        <v>13</v>
      </c>
    </row>
    <row r="129" spans="2:2" x14ac:dyDescent="0.25">
      <c r="B129" s="14" t="s">
        <v>14</v>
      </c>
    </row>
    <row r="130" spans="2:2" x14ac:dyDescent="0.25">
      <c r="B130" s="14" t="s">
        <v>15</v>
      </c>
    </row>
    <row r="131" spans="2:2" x14ac:dyDescent="0.25">
      <c r="B131" s="14" t="s">
        <v>16</v>
      </c>
    </row>
    <row r="132" spans="2:2" x14ac:dyDescent="0.25">
      <c r="B132" s="14" t="s">
        <v>17</v>
      </c>
    </row>
    <row r="133" spans="2:2" x14ac:dyDescent="0.25">
      <c r="B133" s="14" t="s">
        <v>18</v>
      </c>
    </row>
    <row r="134" spans="2:2" x14ac:dyDescent="0.25">
      <c r="B134" s="14" t="s">
        <v>19</v>
      </c>
    </row>
    <row r="135" spans="2:2" x14ac:dyDescent="0.25">
      <c r="B135" s="14" t="s">
        <v>20</v>
      </c>
    </row>
    <row r="136" spans="2:2" x14ac:dyDescent="0.25">
      <c r="B136" s="14" t="s">
        <v>21</v>
      </c>
    </row>
    <row r="137" spans="2:2" x14ac:dyDescent="0.25">
      <c r="B137" s="14" t="s">
        <v>22</v>
      </c>
    </row>
    <row r="138" spans="2:2" x14ac:dyDescent="0.25">
      <c r="B138" s="14" t="s">
        <v>23</v>
      </c>
    </row>
    <row r="139" spans="2:2" x14ac:dyDescent="0.25">
      <c r="B139" s="14" t="s">
        <v>24</v>
      </c>
    </row>
    <row r="140" spans="2:2" x14ac:dyDescent="0.25">
      <c r="B140" s="14" t="s">
        <v>25</v>
      </c>
    </row>
    <row r="141" spans="2:2" x14ac:dyDescent="0.25">
      <c r="B141" s="14"/>
    </row>
    <row r="142" spans="2:2" x14ac:dyDescent="0.25">
      <c r="B142" s="14" t="s">
        <v>26</v>
      </c>
    </row>
    <row r="143" spans="2:2" x14ac:dyDescent="0.25">
      <c r="B143" s="14" t="s">
        <v>19</v>
      </c>
    </row>
    <row r="144" spans="2:2" x14ac:dyDescent="0.25">
      <c r="B144" s="14" t="s">
        <v>2</v>
      </c>
    </row>
    <row r="145" spans="2:2" x14ac:dyDescent="0.25">
      <c r="B145" s="14" t="s">
        <v>25</v>
      </c>
    </row>
    <row r="146" spans="2:2" x14ac:dyDescent="0.25">
      <c r="B146" s="14" t="s">
        <v>27</v>
      </c>
    </row>
    <row r="147" spans="2:2" x14ac:dyDescent="0.25">
      <c r="B147" s="14" t="s">
        <v>28</v>
      </c>
    </row>
    <row r="148" spans="2:2" x14ac:dyDescent="0.25">
      <c r="B148" s="14" t="s">
        <v>29</v>
      </c>
    </row>
    <row r="149" spans="2:2" x14ac:dyDescent="0.25">
      <c r="B149" s="14"/>
    </row>
    <row r="150" spans="2:2" x14ac:dyDescent="0.25">
      <c r="B150" s="14" t="s">
        <v>30</v>
      </c>
    </row>
    <row r="151" spans="2:2" x14ac:dyDescent="0.25">
      <c r="B151" s="14" t="s">
        <v>31</v>
      </c>
    </row>
    <row r="152" spans="2:2" x14ac:dyDescent="0.25">
      <c r="B152" s="14"/>
    </row>
    <row r="153" spans="2:2" x14ac:dyDescent="0.25">
      <c r="B153" s="14" t="s">
        <v>32</v>
      </c>
    </row>
    <row r="154" spans="2:2" x14ac:dyDescent="0.25">
      <c r="B154" s="14" t="s">
        <v>33</v>
      </c>
    </row>
    <row r="155" spans="2:2" x14ac:dyDescent="0.25">
      <c r="B155" s="14" t="s">
        <v>34</v>
      </c>
    </row>
    <row r="156" spans="2:2" x14ac:dyDescent="0.25">
      <c r="B156" s="14" t="s">
        <v>35</v>
      </c>
    </row>
    <row r="157" spans="2:2" x14ac:dyDescent="0.25">
      <c r="B157" s="14" t="s">
        <v>36</v>
      </c>
    </row>
    <row r="158" spans="2:2" x14ac:dyDescent="0.25">
      <c r="B158" s="14" t="s">
        <v>36</v>
      </c>
    </row>
    <row r="159" spans="2:2" x14ac:dyDescent="0.25">
      <c r="B159" s="14"/>
    </row>
    <row r="160" spans="2:2" x14ac:dyDescent="0.25">
      <c r="B160" s="14" t="s">
        <v>37</v>
      </c>
    </row>
    <row r="161" spans="2:2" x14ac:dyDescent="0.25">
      <c r="B161" s="14" t="s">
        <v>38</v>
      </c>
    </row>
    <row r="163" spans="2:2" x14ac:dyDescent="0.25">
      <c r="B163" s="2" t="s">
        <v>39</v>
      </c>
    </row>
    <row r="164" spans="2:2" x14ac:dyDescent="0.25">
      <c r="B164" s="2" t="s">
        <v>40</v>
      </c>
    </row>
    <row r="165" spans="2:2" x14ac:dyDescent="0.25">
      <c r="B165" s="2" t="s">
        <v>41</v>
      </c>
    </row>
    <row r="166" spans="2:2" x14ac:dyDescent="0.25">
      <c r="B166" s="2"/>
    </row>
    <row r="167" spans="2:2" x14ac:dyDescent="0.25">
      <c r="B167" s="2"/>
    </row>
    <row r="168" spans="2:2" x14ac:dyDescent="0.25">
      <c r="B168" s="2"/>
    </row>
    <row r="169" spans="2:2" x14ac:dyDescent="0.25">
      <c r="B169" s="2"/>
    </row>
    <row r="170" spans="2:2" x14ac:dyDescent="0.25">
      <c r="B170" s="2"/>
    </row>
    <row r="171" spans="2:2" x14ac:dyDescent="0.25">
      <c r="B171" s="2"/>
    </row>
    <row r="172" spans="2:2" ht="15.75" x14ac:dyDescent="0.25">
      <c r="B172" s="3" t="s">
        <v>42</v>
      </c>
    </row>
    <row r="173" spans="2:2" x14ac:dyDescent="0.25">
      <c r="B173" s="2" t="s">
        <v>43</v>
      </c>
    </row>
    <row r="174" spans="2:2" x14ac:dyDescent="0.25">
      <c r="B174" s="2" t="s">
        <v>44</v>
      </c>
    </row>
    <row r="175" spans="2:2" x14ac:dyDescent="0.25">
      <c r="B175" s="2"/>
    </row>
    <row r="176" spans="2:2" x14ac:dyDescent="0.25">
      <c r="B176" s="2" t="s">
        <v>45</v>
      </c>
    </row>
    <row r="177" spans="2:2" x14ac:dyDescent="0.25">
      <c r="B177" s="2" t="s">
        <v>46</v>
      </c>
    </row>
    <row r="178" spans="2:2" x14ac:dyDescent="0.25">
      <c r="B178" s="2" t="s">
        <v>25</v>
      </c>
    </row>
    <row r="179" spans="2:2" x14ac:dyDescent="0.25">
      <c r="B179" s="2" t="s">
        <v>47</v>
      </c>
    </row>
    <row r="180" spans="2:2" x14ac:dyDescent="0.25">
      <c r="B180" s="2"/>
    </row>
    <row r="181" spans="2:2" x14ac:dyDescent="0.25">
      <c r="B181" s="2" t="s">
        <v>48</v>
      </c>
    </row>
    <row r="182" spans="2:2" x14ac:dyDescent="0.25">
      <c r="B182" s="4" t="s">
        <v>47</v>
      </c>
    </row>
    <row r="183" spans="2:2" x14ac:dyDescent="0.25">
      <c r="B183" s="4" t="s">
        <v>49</v>
      </c>
    </row>
    <row r="184" spans="2:2" x14ac:dyDescent="0.25">
      <c r="B184" s="4" t="s">
        <v>50</v>
      </c>
    </row>
    <row r="185" spans="2:2" x14ac:dyDescent="0.25">
      <c r="B185" s="4" t="s">
        <v>51</v>
      </c>
    </row>
    <row r="186" spans="2:2" x14ac:dyDescent="0.25">
      <c r="B186" s="2" t="s">
        <v>52</v>
      </c>
    </row>
    <row r="187" spans="2:2" x14ac:dyDescent="0.25">
      <c r="B187" s="2"/>
    </row>
    <row r="188" spans="2:2" x14ac:dyDescent="0.25">
      <c r="B188" s="2"/>
    </row>
    <row r="189" spans="2:2" x14ac:dyDescent="0.25">
      <c r="B189" s="2" t="s">
        <v>53</v>
      </c>
    </row>
    <row r="190" spans="2:2" x14ac:dyDescent="0.25">
      <c r="B190" s="2" t="s">
        <v>54</v>
      </c>
    </row>
    <row r="191" spans="2:2" x14ac:dyDescent="0.25">
      <c r="B191" s="2" t="s">
        <v>55</v>
      </c>
    </row>
    <row r="192" spans="2:2" x14ac:dyDescent="0.25">
      <c r="B192" s="2"/>
    </row>
    <row r="193" spans="2:2" x14ac:dyDescent="0.25">
      <c r="B193" s="4" t="s">
        <v>56</v>
      </c>
    </row>
    <row r="194" spans="2:2" x14ac:dyDescent="0.25">
      <c r="B194" s="4"/>
    </row>
    <row r="195" spans="2:2" ht="15.75" x14ac:dyDescent="0.25">
      <c r="B195" s="5"/>
    </row>
    <row r="196" spans="2:2" x14ac:dyDescent="0.25">
      <c r="B196" s="4" t="s">
        <v>57</v>
      </c>
    </row>
    <row r="197" spans="2:2" x14ac:dyDescent="0.25">
      <c r="B197" s="4"/>
    </row>
    <row r="198" spans="2:2" x14ac:dyDescent="0.25">
      <c r="B198" s="4" t="s">
        <v>58</v>
      </c>
    </row>
    <row r="199" spans="2:2" x14ac:dyDescent="0.25">
      <c r="B199" s="4" t="s">
        <v>59</v>
      </c>
    </row>
    <row r="200" spans="2:2" x14ac:dyDescent="0.25">
      <c r="B200" s="4" t="s">
        <v>60</v>
      </c>
    </row>
    <row r="201" spans="2:2" x14ac:dyDescent="0.25">
      <c r="B201" s="4"/>
    </row>
    <row r="202" spans="2:2" x14ac:dyDescent="0.25">
      <c r="B202" s="4" t="s">
        <v>61</v>
      </c>
    </row>
    <row r="203" spans="2:2" x14ac:dyDescent="0.25">
      <c r="B203" s="4" t="s">
        <v>62</v>
      </c>
    </row>
    <row r="204" spans="2:2" x14ac:dyDescent="0.25">
      <c r="B204" s="4" t="s">
        <v>63</v>
      </c>
    </row>
    <row r="205" spans="2:2" x14ac:dyDescent="0.25">
      <c r="B205" s="4"/>
    </row>
    <row r="206" spans="2:2" x14ac:dyDescent="0.25">
      <c r="B206" s="4" t="s">
        <v>64</v>
      </c>
    </row>
    <row r="207" spans="2:2" ht="15.75" x14ac:dyDescent="0.25">
      <c r="B207" s="5"/>
    </row>
    <row r="208" spans="2:2" ht="15.75" x14ac:dyDescent="0.25">
      <c r="B208" s="5"/>
    </row>
    <row r="209" spans="2:2" ht="15.75" x14ac:dyDescent="0.25">
      <c r="B209" s="5"/>
    </row>
    <row r="210" spans="2:2" ht="15.75" x14ac:dyDescent="0.25">
      <c r="B210" s="5"/>
    </row>
    <row r="211" spans="2:2" ht="15.75" x14ac:dyDescent="0.25">
      <c r="B211" s="5"/>
    </row>
    <row r="212" spans="2:2" x14ac:dyDescent="0.25">
      <c r="B212" s="4" t="s">
        <v>65</v>
      </c>
    </row>
    <row r="213" spans="2:2" x14ac:dyDescent="0.25">
      <c r="B213" s="4"/>
    </row>
    <row r="214" spans="2:2" ht="15.75" x14ac:dyDescent="0.25">
      <c r="B214" s="5"/>
    </row>
    <row r="215" spans="2:2" ht="15.75" x14ac:dyDescent="0.25">
      <c r="B215" s="5"/>
    </row>
    <row r="216" spans="2:2" ht="15.75" x14ac:dyDescent="0.25">
      <c r="B216" s="5"/>
    </row>
    <row r="217" spans="2:2" ht="15.75" x14ac:dyDescent="0.25">
      <c r="B217" s="5"/>
    </row>
    <row r="218" spans="2:2" x14ac:dyDescent="0.25">
      <c r="B218" s="4" t="s">
        <v>66</v>
      </c>
    </row>
    <row r="219" spans="2:2" ht="15.75" x14ac:dyDescent="0.25">
      <c r="B219" s="6"/>
    </row>
    <row r="220" spans="2:2" ht="15.75" x14ac:dyDescent="0.25">
      <c r="B220" s="7" t="s">
        <v>67</v>
      </c>
    </row>
    <row r="221" spans="2:2" x14ac:dyDescent="0.25">
      <c r="B221" s="8" t="s">
        <v>68</v>
      </c>
    </row>
    <row r="222" spans="2:2" x14ac:dyDescent="0.25">
      <c r="B222" s="8" t="s">
        <v>69</v>
      </c>
    </row>
    <row r="223" spans="2:2" x14ac:dyDescent="0.25">
      <c r="B223" s="8" t="s">
        <v>70</v>
      </c>
    </row>
    <row r="224" spans="2:2" x14ac:dyDescent="0.25">
      <c r="B224" s="8" t="s">
        <v>71</v>
      </c>
    </row>
    <row r="225" spans="2:2" x14ac:dyDescent="0.25">
      <c r="B225" s="8" t="s">
        <v>72</v>
      </c>
    </row>
    <row r="227" spans="2:2" ht="15.75" x14ac:dyDescent="0.25">
      <c r="B227" s="9" t="s">
        <v>73</v>
      </c>
    </row>
    <row r="228" spans="2:2" x14ac:dyDescent="0.25">
      <c r="B228" s="10" t="s">
        <v>74</v>
      </c>
    </row>
    <row r="229" spans="2:2" x14ac:dyDescent="0.25">
      <c r="B229" s="10" t="s">
        <v>75</v>
      </c>
    </row>
    <row r="230" spans="2:2" x14ac:dyDescent="0.25">
      <c r="B230" s="10" t="s">
        <v>76</v>
      </c>
    </row>
    <row r="231" spans="2:2" x14ac:dyDescent="0.25">
      <c r="B231" s="10" t="s">
        <v>77</v>
      </c>
    </row>
    <row r="232" spans="2:2" x14ac:dyDescent="0.25">
      <c r="B232" s="10" t="s">
        <v>78</v>
      </c>
    </row>
    <row r="233" spans="2:2" x14ac:dyDescent="0.25">
      <c r="B233" s="10" t="s">
        <v>79</v>
      </c>
    </row>
    <row r="234" spans="2:2" x14ac:dyDescent="0.25">
      <c r="B234" s="10" t="s">
        <v>80</v>
      </c>
    </row>
    <row r="235" spans="2:2" x14ac:dyDescent="0.25">
      <c r="B235" s="10"/>
    </row>
    <row r="236" spans="2:2" x14ac:dyDescent="0.25">
      <c r="B236" s="10" t="s">
        <v>81</v>
      </c>
    </row>
    <row r="237" spans="2:2" x14ac:dyDescent="0.25">
      <c r="B237" s="10"/>
    </row>
    <row r="238" spans="2:2" x14ac:dyDescent="0.25">
      <c r="B238" s="10"/>
    </row>
    <row r="239" spans="2:2" x14ac:dyDescent="0.25">
      <c r="B239" s="10"/>
    </row>
    <row r="240" spans="2:2" x14ac:dyDescent="0.25">
      <c r="B240" s="10" t="s">
        <v>82</v>
      </c>
    </row>
    <row r="241" spans="2:2" x14ac:dyDescent="0.25">
      <c r="B241" s="10" t="s">
        <v>83</v>
      </c>
    </row>
    <row r="242" spans="2:2" x14ac:dyDescent="0.25">
      <c r="B242" s="10" t="s">
        <v>84</v>
      </c>
    </row>
    <row r="243" spans="2:2" x14ac:dyDescent="0.25">
      <c r="B243" s="10" t="s">
        <v>85</v>
      </c>
    </row>
    <row r="245" spans="2:2" ht="15.75" x14ac:dyDescent="0.25">
      <c r="B245" s="11" t="s">
        <v>86</v>
      </c>
    </row>
    <row r="246" spans="2:2" x14ac:dyDescent="0.25">
      <c r="B246" s="12" t="s">
        <v>87</v>
      </c>
    </row>
    <row r="247" spans="2:2" x14ac:dyDescent="0.25">
      <c r="B247" s="12"/>
    </row>
    <row r="248" spans="2:2" x14ac:dyDescent="0.25">
      <c r="B248" s="12" t="s">
        <v>88</v>
      </c>
    </row>
    <row r="249" spans="2:2" x14ac:dyDescent="0.25">
      <c r="B249" s="12" t="s">
        <v>89</v>
      </c>
    </row>
    <row r="250" spans="2:2" x14ac:dyDescent="0.25">
      <c r="B250" s="12" t="s">
        <v>90</v>
      </c>
    </row>
    <row r="251" spans="2:2" x14ac:dyDescent="0.25">
      <c r="B251" s="12" t="s">
        <v>81</v>
      </c>
    </row>
    <row r="252" spans="2:2" x14ac:dyDescent="0.25">
      <c r="B252" s="12" t="s">
        <v>91</v>
      </c>
    </row>
    <row r="253" spans="2:2" x14ac:dyDescent="0.25">
      <c r="B253" s="12" t="s">
        <v>92</v>
      </c>
    </row>
    <row r="254" spans="2:2" x14ac:dyDescent="0.25">
      <c r="B254" s="12" t="s">
        <v>93</v>
      </c>
    </row>
    <row r="255" spans="2:2" x14ac:dyDescent="0.25">
      <c r="B255" s="12" t="s">
        <v>94</v>
      </c>
    </row>
    <row r="256" spans="2:2" x14ac:dyDescent="0.25">
      <c r="B256" s="12"/>
    </row>
    <row r="257" spans="2:2" ht="15.75" x14ac:dyDescent="0.25">
      <c r="B257" s="11" t="s">
        <v>95</v>
      </c>
    </row>
    <row r="258" spans="2:2" x14ac:dyDescent="0.25">
      <c r="B258" s="12" t="s">
        <v>96</v>
      </c>
    </row>
    <row r="261" spans="2:2" x14ac:dyDescent="0.25">
      <c r="B261" s="1" t="s">
        <v>97</v>
      </c>
    </row>
    <row r="262" spans="2:2" x14ac:dyDescent="0.25">
      <c r="B262" s="1" t="s">
        <v>98</v>
      </c>
    </row>
    <row r="263" spans="2:2" ht="15.75" x14ac:dyDescent="0.25">
      <c r="B263" s="19" t="s">
        <v>110</v>
      </c>
    </row>
    <row r="264" spans="2:2" ht="15.75" x14ac:dyDescent="0.25">
      <c r="B264" s="19" t="s">
        <v>111</v>
      </c>
    </row>
    <row r="265" spans="2:2" ht="15.75" x14ac:dyDescent="0.25">
      <c r="B265" s="19" t="s">
        <v>112</v>
      </c>
    </row>
    <row r="266" spans="2:2" ht="15.75" x14ac:dyDescent="0.25">
      <c r="B266" s="19" t="s">
        <v>113</v>
      </c>
    </row>
    <row r="267" spans="2:2" ht="15.75" x14ac:dyDescent="0.25">
      <c r="B267" s="19" t="s">
        <v>114</v>
      </c>
    </row>
    <row r="268" spans="2:2" ht="15.75" x14ac:dyDescent="0.25">
      <c r="B268" s="19" t="s">
        <v>115</v>
      </c>
    </row>
    <row r="269" spans="2:2" ht="15.75" x14ac:dyDescent="0.25">
      <c r="B269" s="19" t="s">
        <v>116</v>
      </c>
    </row>
    <row r="270" spans="2:2" ht="15.75" x14ac:dyDescent="0.25">
      <c r="B270" s="19" t="s">
        <v>117</v>
      </c>
    </row>
    <row r="271" spans="2:2" x14ac:dyDescent="0.25">
      <c r="B271" s="1" t="s">
        <v>118</v>
      </c>
    </row>
    <row r="272" spans="2:2" x14ac:dyDescent="0.25">
      <c r="B272" s="1" t="s">
        <v>119</v>
      </c>
    </row>
    <row r="273" spans="2:2" ht="15.75" x14ac:dyDescent="0.25">
      <c r="B273" s="20" t="s">
        <v>120</v>
      </c>
    </row>
    <row r="274" spans="2:2" ht="15.75" x14ac:dyDescent="0.25">
      <c r="B274" s="20" t="s">
        <v>121</v>
      </c>
    </row>
    <row r="275" spans="2:2" ht="15.75" x14ac:dyDescent="0.25">
      <c r="B275" s="20" t="s">
        <v>122</v>
      </c>
    </row>
    <row r="276" spans="2:2" ht="15.75" x14ac:dyDescent="0.25">
      <c r="B276" s="20" t="s">
        <v>123</v>
      </c>
    </row>
    <row r="277" spans="2:2" ht="15.75" x14ac:dyDescent="0.25">
      <c r="B277" s="20" t="s">
        <v>124</v>
      </c>
    </row>
    <row r="278" spans="2:2" ht="15.75" x14ac:dyDescent="0.25">
      <c r="B278" s="20" t="s">
        <v>125</v>
      </c>
    </row>
    <row r="279" spans="2:2" ht="15.75" x14ac:dyDescent="0.25">
      <c r="B279" s="20" t="s">
        <v>126</v>
      </c>
    </row>
  </sheetData>
  <mergeCells count="3">
    <mergeCell ref="Q98:X98"/>
    <mergeCell ref="Q99:X99"/>
    <mergeCell ref="Q102:X102"/>
  </mergeCells>
  <conditionalFormatting sqref="D1:K82 D83 F83:K83 D84:K1048576">
    <cfRule type="cellIs" dxfId="0" priority="1" operator="lessThan">
      <formula>0</formula>
    </cfRule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tabSelected="1" zoomScale="75" zoomScaleNormal="75"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258</vt:i4>
      </vt:variant>
    </vt:vector>
  </HeadingPairs>
  <TitlesOfParts>
    <vt:vector size="258" baseType="lpstr">
      <vt:lpstr>Sheet1</vt:lpstr>
      <vt:lpstr>Sheet2</vt:lpstr>
      <vt:lpstr>E</vt:lpstr>
      <vt:lpstr>EACO</vt:lpstr>
      <vt:lpstr>EADSY</vt:lpstr>
      <vt:lpstr>EAF</vt:lpstr>
      <vt:lpstr>EAT</vt:lpstr>
      <vt:lpstr>EBAY</vt:lpstr>
      <vt:lpstr>EBC</vt:lpstr>
      <vt:lpstr>EBCOY</vt:lpstr>
      <vt:lpstr>EBF</vt:lpstr>
      <vt:lpstr>EBKDY</vt:lpstr>
      <vt:lpstr>EBMT</vt:lpstr>
      <vt:lpstr>EBON</vt:lpstr>
      <vt:lpstr>EBOSY</vt:lpstr>
      <vt:lpstr>EBS</vt:lpstr>
      <vt:lpstr>EC</vt:lpstr>
      <vt:lpstr>ECBK</vt:lpstr>
      <vt:lpstr>ECG</vt:lpstr>
      <vt:lpstr>ECHO</vt:lpstr>
      <vt:lpstr>ECL</vt:lpstr>
      <vt:lpstr>ECO</vt:lpstr>
      <vt:lpstr>ECOR</vt:lpstr>
      <vt:lpstr>ECPG</vt:lpstr>
      <vt:lpstr>ECREY</vt:lpstr>
      <vt:lpstr>ECVT</vt:lpstr>
      <vt:lpstr>ECX</vt:lpstr>
      <vt:lpstr>ED</vt:lpstr>
      <vt:lpstr>EDBL</vt:lpstr>
      <vt:lpstr>EDHL</vt:lpstr>
      <vt:lpstr>EDIT</vt:lpstr>
      <vt:lpstr>EDN</vt:lpstr>
      <vt:lpstr>EDNMY</vt:lpstr>
      <vt:lpstr>EDPFY</vt:lpstr>
      <vt:lpstr>EDRVY</vt:lpstr>
      <vt:lpstr>EDRY</vt:lpstr>
      <vt:lpstr>EDSA</vt:lpstr>
      <vt:lpstr>EDTK</vt:lpstr>
      <vt:lpstr>EDU</vt:lpstr>
      <vt:lpstr>EDUC</vt:lpstr>
      <vt:lpstr>EDVA</vt:lpstr>
      <vt:lpstr>EE</vt:lpstr>
      <vt:lpstr>EEFT</vt:lpstr>
      <vt:lpstr>EEIQ</vt:lpstr>
      <vt:lpstr>EFC</vt:lpstr>
      <vt:lpstr>EFGSY</vt:lpstr>
      <vt:lpstr>EFOI</vt:lpstr>
      <vt:lpstr>EFOR</vt:lpstr>
      <vt:lpstr>EFSC</vt:lpstr>
      <vt:lpstr>EFSI</vt:lpstr>
      <vt:lpstr>EFX</vt:lpstr>
      <vt:lpstr>EFXT</vt:lpstr>
      <vt:lpstr>EG</vt:lpstr>
      <vt:lpstr>EGAN</vt:lpstr>
      <vt:lpstr>EGBN</vt:lpstr>
      <vt:lpstr>EGG</vt:lpstr>
      <vt:lpstr>EGHT</vt:lpstr>
      <vt:lpstr>EGIEY</vt:lpstr>
      <vt:lpstr>EGO</vt:lpstr>
      <vt:lpstr>EGP</vt:lpstr>
      <vt:lpstr>EGY</vt:lpstr>
      <vt:lpstr>EH</vt:lpstr>
      <vt:lpstr>EHC</vt:lpstr>
      <vt:lpstr>EHGO</vt:lpstr>
      <vt:lpstr>EHLD</vt:lpstr>
      <vt:lpstr>EHTH</vt:lpstr>
      <vt:lpstr>EIG</vt:lpstr>
      <vt:lpstr>EIKN</vt:lpstr>
      <vt:lpstr>EIX</vt:lpstr>
      <vt:lpstr>EJH</vt:lpstr>
      <vt:lpstr>EJPRY</vt:lpstr>
      <vt:lpstr>EKTAY</vt:lpstr>
      <vt:lpstr>EL</vt:lpstr>
      <vt:lpstr>ELA</vt:lpstr>
      <vt:lpstr>ELAB</vt:lpstr>
      <vt:lpstr>ELAN</vt:lpstr>
      <vt:lpstr>ELBM</vt:lpstr>
      <vt:lpstr>ELDN</vt:lpstr>
      <vt:lpstr>ELE</vt:lpstr>
      <vt:lpstr>ELEZY</vt:lpstr>
      <vt:lpstr>ELF</vt:lpstr>
      <vt:lpstr>ELLO</vt:lpstr>
      <vt:lpstr>ELLRY</vt:lpstr>
      <vt:lpstr>ELMA</vt:lpstr>
      <vt:lpstr>ELMD</vt:lpstr>
      <vt:lpstr>ELME</vt:lpstr>
      <vt:lpstr>ELMT</vt:lpstr>
      <vt:lpstr>ELMTY</vt:lpstr>
      <vt:lpstr>ELMUY</vt:lpstr>
      <vt:lpstr>ELOG</vt:lpstr>
      <vt:lpstr>ELOX</vt:lpstr>
      <vt:lpstr>ELPC</vt:lpstr>
      <vt:lpstr>ELPW</vt:lpstr>
      <vt:lpstr>ELS</vt:lpstr>
      <vt:lpstr>ELTK</vt:lpstr>
      <vt:lpstr>ELTX</vt:lpstr>
      <vt:lpstr>ELUT</vt:lpstr>
      <vt:lpstr>ELUXY</vt:lpstr>
      <vt:lpstr>ELV</vt:lpstr>
      <vt:lpstr>ELVA</vt:lpstr>
      <vt:lpstr>ELVN</vt:lpstr>
      <vt:lpstr>ELVR</vt:lpstr>
      <vt:lpstr>ELWT</vt:lpstr>
      <vt:lpstr>EMA</vt:lpstr>
      <vt:lpstr>EMAT</vt:lpstr>
      <vt:lpstr>EMBC</vt:lpstr>
      <vt:lpstr>EMBJ</vt:lpstr>
      <vt:lpstr>EME</vt:lpstr>
      <vt:lpstr>EML</vt:lpstr>
      <vt:lpstr>EMN</vt:lpstr>
      <vt:lpstr>EMPD</vt:lpstr>
      <vt:lpstr>EMR</vt:lpstr>
      <vt:lpstr>EMSCY</vt:lpstr>
      <vt:lpstr>EMYB</vt:lpstr>
      <vt:lpstr>ENB</vt:lpstr>
      <vt:lpstr>ENBP</vt:lpstr>
      <vt:lpstr>ENGGY</vt:lpstr>
      <vt:lpstr>ENGIY</vt:lpstr>
      <vt:lpstr>ENGN</vt:lpstr>
      <vt:lpstr>ENGS</vt:lpstr>
      <vt:lpstr>ENHA</vt:lpstr>
      <vt:lpstr>ENIC</vt:lpstr>
      <vt:lpstr>ENLAY</vt:lpstr>
      <vt:lpstr>ENLT</vt:lpstr>
      <vt:lpstr>ENLV</vt:lpstr>
      <vt:lpstr>ENOV</vt:lpstr>
      <vt:lpstr>ENPH</vt:lpstr>
      <vt:lpstr>ENR</vt:lpstr>
      <vt:lpstr>ENRD</vt:lpstr>
      <vt:lpstr>ENS</vt:lpstr>
      <vt:lpstr>ENSC</vt:lpstr>
      <vt:lpstr>ENSG</vt:lpstr>
      <vt:lpstr>ENTA</vt:lpstr>
      <vt:lpstr>ENTG</vt:lpstr>
      <vt:lpstr>ENTX</vt:lpstr>
      <vt:lpstr>ENVA</vt:lpstr>
      <vt:lpstr>ENVB</vt:lpstr>
      <vt:lpstr>ENVX</vt:lpstr>
      <vt:lpstr>EOCN</vt:lpstr>
      <vt:lpstr>EOG</vt:lpstr>
      <vt:lpstr>EOLS</vt:lpstr>
      <vt:lpstr>EONGY</vt:lpstr>
      <vt:lpstr>EONR</vt:lpstr>
      <vt:lpstr>EOSE</vt:lpstr>
      <vt:lpstr>EP</vt:lpstr>
      <vt:lpstr>EPAC</vt:lpstr>
      <vt:lpstr>EPAM</vt:lpstr>
      <vt:lpstr>EPC</vt:lpstr>
      <vt:lpstr>EPD</vt:lpstr>
      <vt:lpstr>EPM</vt:lpstr>
      <vt:lpstr>EPOBY</vt:lpstr>
      <vt:lpstr>EPOW</vt:lpstr>
      <vt:lpstr>EPR</vt:lpstr>
      <vt:lpstr>EPRT</vt:lpstr>
      <vt:lpstr>EPRX</vt:lpstr>
      <vt:lpstr>EPSM</vt:lpstr>
      <vt:lpstr>EPSN</vt:lpstr>
      <vt:lpstr>EQ</vt:lpstr>
      <vt:lpstr>EQBK</vt:lpstr>
      <vt:lpstr>EQH</vt:lpstr>
      <vt:lpstr>EQIX</vt:lpstr>
      <vt:lpstr>EQNR</vt:lpstr>
      <vt:lpstr>EQPT</vt:lpstr>
      <vt:lpstr>EQT</vt:lpstr>
      <vt:lpstr>EQUEY</vt:lpstr>
      <vt:lpstr>EQX</vt:lpstr>
      <vt:lpstr>ERAS</vt:lpstr>
      <vt:lpstr>ERBKY</vt:lpstr>
      <vt:lpstr>ERCLY</vt:lpstr>
      <vt:lpstr>ERELY</vt:lpstr>
      <vt:lpstr>ERIC</vt:lpstr>
      <vt:lpstr>ERIE</vt:lpstr>
      <vt:lpstr>ERII</vt:lpstr>
      <vt:lpstr>ERKH</vt:lpstr>
      <vt:lpstr>ERMAY</vt:lpstr>
      <vt:lpstr>ERNA</vt:lpstr>
      <vt:lpstr>ERNXY</vt:lpstr>
      <vt:lpstr>ERO</vt:lpstr>
      <vt:lpstr>EROC</vt:lpstr>
      <vt:lpstr>EROK</vt:lpstr>
      <vt:lpstr>ES</vt:lpstr>
      <vt:lpstr>ESAB</vt:lpstr>
      <vt:lpstr>ESAIY</vt:lpstr>
      <vt:lpstr>ESCA</vt:lpstr>
      <vt:lpstr>ESE</vt:lpstr>
      <vt:lpstr>ESEA</vt:lpstr>
      <vt:lpstr>ESGH</vt:lpstr>
      <vt:lpstr>ESI</vt:lpstr>
      <vt:lpstr>ESLA</vt:lpstr>
      <vt:lpstr>ESLOY</vt:lpstr>
      <vt:lpstr>ESLT</vt:lpstr>
      <vt:lpstr>ESNT</vt:lpstr>
      <vt:lpstr>ESOA</vt:lpstr>
      <vt:lpstr>ESP</vt:lpstr>
      <vt:lpstr>ESQ</vt:lpstr>
      <vt:lpstr>ESRT</vt:lpstr>
      <vt:lpstr>ESS</vt:lpstr>
      <vt:lpstr>ESTA</vt:lpstr>
      <vt:lpstr>ESTC</vt:lpstr>
      <vt:lpstr>ESYJY</vt:lpstr>
      <vt:lpstr>ESYN</vt:lpstr>
      <vt:lpstr>ET</vt:lpstr>
      <vt:lpstr>ETCC</vt:lpstr>
      <vt:lpstr>ETD</vt:lpstr>
      <vt:lpstr>ETN</vt:lpstr>
      <vt:lpstr>ETON</vt:lpstr>
      <vt:lpstr>ETOR</vt:lpstr>
      <vt:lpstr>ETR</vt:lpstr>
      <vt:lpstr>ETS</vt:lpstr>
      <vt:lpstr>ETSY</vt:lpstr>
      <vt:lpstr>EU</vt:lpstr>
      <vt:lpstr>EUDA</vt:lpstr>
      <vt:lpstr>EUSHY</vt:lpstr>
      <vt:lpstr>EVAX</vt:lpstr>
      <vt:lpstr>EVC</vt:lpstr>
      <vt:lpstr>EVCM</vt:lpstr>
      <vt:lpstr>EVER</vt:lpstr>
      <vt:lpstr>EVEX</vt:lpstr>
      <vt:lpstr>EVGN</vt:lpstr>
      <vt:lpstr>EVGO</vt:lpstr>
      <vt:lpstr>EVH</vt:lpstr>
      <vt:lpstr>EVI</vt:lpstr>
      <vt:lpstr>EVKIY</vt:lpstr>
      <vt:lpstr>EVLV</vt:lpstr>
      <vt:lpstr>EVMN</vt:lpstr>
      <vt:lpstr>EVMNY</vt:lpstr>
      <vt:lpstr>EVO</vt:lpstr>
      <vt:lpstr>EVR</vt:lpstr>
      <vt:lpstr>EVRG</vt:lpstr>
      <vt:lpstr>EVSBY</vt:lpstr>
      <vt:lpstr>EVTC</vt:lpstr>
      <vt:lpstr>EVTL</vt:lpstr>
      <vt:lpstr>EVVTY</vt:lpstr>
      <vt:lpstr>EW</vt:lpstr>
      <vt:lpstr>EWBC</vt:lpstr>
      <vt:lpstr>EWTX</vt:lpstr>
      <vt:lpstr>EXC</vt:lpstr>
      <vt:lpstr>EXE</vt:lpstr>
      <vt:lpstr>EXEL</vt:lpstr>
      <vt:lpstr>EXFY</vt:lpstr>
      <vt:lpstr>EXK</vt:lpstr>
      <vt:lpstr>EXLS</vt:lpstr>
      <vt:lpstr>EXOD</vt:lpstr>
      <vt:lpstr>EXOZ</vt:lpstr>
      <vt:lpstr>EXP</vt:lpstr>
      <vt:lpstr>EXPD</vt:lpstr>
      <vt:lpstr>EXPE</vt:lpstr>
      <vt:lpstr>EXPGY</vt:lpstr>
      <vt:lpstr>EXPO</vt:lpstr>
      <vt:lpstr>EXR</vt:lpstr>
      <vt:lpstr>EXSR</vt:lpstr>
      <vt:lpstr>EXTR</vt:lpstr>
      <vt:lpstr>EXYN</vt:lpstr>
      <vt:lpstr>EYE</vt:lpstr>
      <vt:lpstr>EYPT</vt:lpstr>
      <vt:lpstr>EZGO</vt:lpstr>
      <vt:lpstr>EZPW</vt:lpstr>
      <vt:lpstr>EZRA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dcterms:created xsi:type="dcterms:W3CDTF">2016-05-21T22:13:29Z</dcterms:created>
  <dcterms:modified xsi:type="dcterms:W3CDTF">2026-09-27T22:03:31Z</dcterms:modified>
</cp:coreProperties>
</file>